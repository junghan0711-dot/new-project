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390f29c08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活動總覽" sheetId="1" r:id="Rbcc67c42fb0c4417"/>
    <x:sheet xmlns:r="http://schemas.openxmlformats.org/officeDocument/2006/relationships" name="01_WBS工作分解" sheetId="2" r:id="R1aa6776bc4e84b5c"/>
    <x:sheet xmlns:r="http://schemas.openxmlformats.org/officeDocument/2006/relationships" name="02_總控甘特" sheetId="3" r:id="Re025b207710741ac"/>
    <x:sheet xmlns:r="http://schemas.openxmlformats.org/officeDocument/2006/relationships" name="03_RACI分工" sheetId="4" r:id="R2deec33d21e54036"/>
    <x:sheet xmlns:r="http://schemas.openxmlformats.org/officeDocument/2006/relationships" name="04_攤位單位" sheetId="5" r:id="Rf0014665bf32472c"/>
    <x:sheet xmlns:r="http://schemas.openxmlformats.org/officeDocument/2006/relationships" name="05_場地配置" sheetId="6" r:id="Rc2dad041c87b4947"/>
    <x:sheet xmlns:r="http://schemas.openxmlformats.org/officeDocument/2006/relationships" name="06_RunSheet" sheetId="7" r:id="R1af548a3f01046e6"/>
    <x:sheet xmlns:r="http://schemas.openxmlformats.org/officeDocument/2006/relationships" name="07_宣傳排程" sheetId="8" r:id="Rb2ca05329e784652"/>
    <x:sheet xmlns:r="http://schemas.openxmlformats.org/officeDocument/2006/relationships" name="08_採購獎品" sheetId="9" r:id="Ra4c2086bab174244"/>
    <x:sheet xmlns:r="http://schemas.openxmlformats.org/officeDocument/2006/relationships" name="09_預算付款" sheetId="10" r:id="Rf6f49f8f2fe44187"/>
    <x:sheet xmlns:r="http://schemas.openxmlformats.org/officeDocument/2006/relationships" name="10_風險應變" sheetId="11" r:id="R2b6ec2bbeb004535"/>
    <x:sheet xmlns:r="http://schemas.openxmlformats.org/officeDocument/2006/relationships" name="11_會議待辦" sheetId="12" r:id="R803d7d08bd66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2933"/>
      <x:name val="Carlito"/>
    </x:font>
    <x:font>
      <x:b/>
      <x:sz val="11"/>
      <x:color rgb="FF1F2933"/>
      <x:name val="Carlito"/>
    </x:font>
    <x:font>
      <x:b/>
      <x:sz val="13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7FBFF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18613e9038488d" /><Relationship Type="http://schemas.openxmlformats.org/officeDocument/2006/relationships/theme" Target="/xl/theme/theme1.xml" Id="R762af5b1de1241f4" /><Relationship Type="http://schemas.openxmlformats.org/officeDocument/2006/relationships/sharedStrings" Target="/xl/sharedStrings.xml" Id="R21e0abb862514448" /><Relationship Type="http://schemas.openxmlformats.org/officeDocument/2006/relationships/worksheet" Target="/xl/worksheets/sheet1.xml" Id="Rbcc67c42fb0c4417" /><Relationship Type="http://schemas.openxmlformats.org/officeDocument/2006/relationships/worksheet" Target="/xl/worksheets/sheet2.xml" Id="R1aa6776bc4e84b5c" /><Relationship Type="http://schemas.openxmlformats.org/officeDocument/2006/relationships/worksheet" Target="/xl/worksheets/sheet3.xml" Id="Re025b207710741ac" /><Relationship Type="http://schemas.openxmlformats.org/officeDocument/2006/relationships/worksheet" Target="/xl/worksheets/sheet4.xml" Id="R2deec33d21e54036" /><Relationship Type="http://schemas.openxmlformats.org/officeDocument/2006/relationships/worksheet" Target="/xl/worksheets/sheet5.xml" Id="Rf0014665bf32472c" /><Relationship Type="http://schemas.openxmlformats.org/officeDocument/2006/relationships/worksheet" Target="/xl/worksheets/sheet6.xml" Id="Rc2dad041c87b4947" /><Relationship Type="http://schemas.openxmlformats.org/officeDocument/2006/relationships/worksheet" Target="/xl/worksheets/sheet7.xml" Id="R1af548a3f01046e6" /><Relationship Type="http://schemas.openxmlformats.org/officeDocument/2006/relationships/worksheet" Target="/xl/worksheets/sheet8.xml" Id="Rb2ca05329e784652" /><Relationship Type="http://schemas.openxmlformats.org/officeDocument/2006/relationships/worksheet" Target="/xl/worksheets/sheet9.xml" Id="Ra4c2086bab174244" /><Relationship Type="http://schemas.openxmlformats.org/officeDocument/2006/relationships/worksheet" Target="/xl/worksheets/sheet10.xml" Id="Rf6f49f8f2fe44187" /><Relationship Type="http://schemas.openxmlformats.org/officeDocument/2006/relationships/worksheet" Target="/xl/worksheets/sheet11.xml" Id="R2b6ec2bbeb004535" /><Relationship Type="http://schemas.openxmlformats.org/officeDocument/2006/relationships/worksheet" Target="/xl/worksheets/sheet12.xml" Id="R803d7d08bd6649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14" hidden="0" customWidth="1"/>
    <x:col min="4" max="4" width="16" hidden="0" customWidth="1"/>
    <x:col min="5" max="5" width="36" hidden="0" customWidth="1"/>
    <x:col min="6" max="6" width="14" hidden="0" customWidth="1"/>
    <x:col min="7" max="7" width="3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14" t="str">
        <x:v>2026好時光・靚市集｜活動作戰總控表</x:v>
      </x:c>
      <x:c r="B1" s="14" t="str"/>
      <x:c r="C1" s="14" t="str"/>
      <x:c r="D1" s="14" t="str"/>
      <x:c r="E1" s="14" t="str"/>
      <x:c r="F1" s="14" t="str"/>
      <x:c r="G1" s="14" t="str"/>
      <x:c r="I1" s="24" t="str">
        <x:v>快速指標</x:v>
      </x:c>
      <x:c r="J1" s="24" t="str">
        <x:v>快速指標</x:v>
      </x:c>
      <x:c r="K1" s="24" t="str">
        <x:v>快速指標</x:v>
      </x:c>
    </x:row>
    <x:row r="2">
      <x:c r="A2" s="15" t="str">
        <x:v>用途：作為籌備會議、跨組分工、活動當日執行與結案追蹤的單一版本。資料來源：Drive 一籌簡報、場租說明、獎品清單、廣宣資料、場地圖資。</x:v>
      </x:c>
      <x:c r="B2" s="15" t="str"/>
      <x:c r="C2" s="15" t="str"/>
      <x:c r="D2" s="15" t="str"/>
      <x:c r="E2" s="15" t="str"/>
      <x:c r="F2" s="15" t="str"/>
      <x:c r="G2" s="15" t="str"/>
      <x:c r="I2" s="26" t="str">
        <x:v>總任務數</x:v>
      </x:c>
      <x:c r="J2" s="8" t="n">
        <x:f>COUNTA('02_總控甘特'!B5:B23)</x:f>
        <x:v>19</x:v>
      </x:c>
      <x:c r="K2" s="8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I3" s="26" t="str">
        <x:v>待確認</x:v>
      </x:c>
      <x:c r="J3" s="8" t="n">
        <x:f>COUNTIF('02_總控甘特'!F5:F23,"待確認")</x:f>
        <x:v>4</x:v>
      </x:c>
      <x:c r="K3" s="8" t="str"/>
    </x:row>
    <x:row r="4">
      <x:c r="A4" s="17" t="str">
        <x:v>項目</x:v>
      </x:c>
      <x:c r="B4" s="17" t="str">
        <x:v>目前內容</x:v>
      </x:c>
      <x:c r="C4" s="17" t="str">
        <x:v>狀態</x:v>
      </x:c>
      <x:c r="D4" s="17" t="str">
        <x:v>主責</x:v>
      </x:c>
      <x:c r="E4" s="17" t="str">
        <x:v>下一步</x:v>
      </x:c>
      <x:c r="F4" s="17" t="str">
        <x:v>期限</x:v>
      </x:c>
      <x:c r="G4" s="17" t="str">
        <x:v>備註</x:v>
      </x:c>
      <x:c r="I4" s="26" t="str">
        <x:v>進行中</x:v>
      </x:c>
      <x:c r="J4" s="8" t="n">
        <x:f>COUNTIF('02_總控甘特'!F5:F23,"進行中")</x:f>
        <x:v>1</x:v>
      </x:c>
      <x:c r="K4" s="8" t="str"/>
    </x:row>
    <x:row r="5">
      <x:c r="A5" s="18" t="str">
        <x:v>活動名稱</x:v>
      </x:c>
      <x:c r="B5" s="18" t="str">
        <x:v>2026好時光・靚市集</x:v>
      </x:c>
      <x:c r="C5" s="19" t="str">
        <x:v>已完成</x:v>
      </x:c>
      <x:c r="D5" s="18" t="str">
        <x:v>專案統籌</x:v>
      </x:c>
      <x:c r="E5" s="18" t="str">
        <x:v>確認對外正式名稱與副標</x:v>
      </x:c>
      <x:c r="F5" s="18" t="str">
        <x:v>2026-07-10</x:v>
      </x:c>
      <x:c r="G5" s="18" t="str">
        <x:v>簡報副標：多元韌性 培力深耕</x:v>
      </x:c>
      <x:c r="I5" s="26" t="str">
        <x:v>未開始</x:v>
      </x:c>
      <x:c r="J5" s="8" t="n">
        <x:f>COUNTIF('02_總控甘特'!F5:F23,"未開始")</x:f>
        <x:v>14</x:v>
      </x:c>
      <x:c r="K5" s="8" t="str"/>
    </x:row>
    <x:row r="6">
      <x:c r="A6" s="18" t="str">
        <x:v>活動日期</x:v>
      </x:c>
      <x:c r="B6" s="18" t="str">
        <x:v>2026年10月3日（六）</x:v>
      </x:c>
      <x:c r="C6" s="19" t="str">
        <x:v>已完成</x:v>
      </x:c>
      <x:c r="D6" s="18" t="str">
        <x:v>專案統籌</x:v>
      </x:c>
      <x:c r="E6" s="18" t="str">
        <x:v>與場地方確認使用時段與撤場時間</x:v>
      </x:c>
      <x:c r="F6" s="18" t="str">
        <x:v>2026-07-10</x:v>
      </x:c>
      <x:c r="G6" s="18" t="str"/>
      <x:c r="I6" s="26" t="str">
        <x:v>已完成</x:v>
      </x:c>
      <x:c r="J6" s="8" t="n">
        <x:f>COUNTIF('02_總控甘特'!F5:F23,"已完成")</x:f>
        <x:v>0</x:v>
      </x:c>
      <x:c r="K6" s="8" t="str"/>
    </x:row>
    <x:row r="7">
      <x:c r="A7" s="18" t="str">
        <x:v>活動時間</x:v>
      </x:c>
      <x:c r="B7" s="18" t="str">
        <x:v>14:00-19:00，共5小時</x:v>
      </x:c>
      <x:c r="C7" s="19" t="str">
        <x:v>已完成</x:v>
      </x:c>
      <x:c r="D7" s="18" t="str">
        <x:v>活動組</x:v>
      </x:c>
      <x:c r="E7" s="18" t="str">
        <x:v>同步更新 Run Sheet</x:v>
      </x:c>
      <x:c r="F7" s="18" t="str">
        <x:v>2026-07-15</x:v>
      </x:c>
      <x:c r="G7" s="18" t="str"/>
    </x:row>
    <x:row r="8">
      <x:c r="A8" s="18" t="str">
        <x:v>活動地點</x:v>
      </x:c>
      <x:c r="B8" s="18" t="str">
        <x:v>藍晒圖文創園區，臺南市南區新昌里西門路一段689巷12號</x:v>
      </x:c>
      <x:c r="C8" s="19" t="str">
        <x:v>已完成</x:v>
      </x:c>
      <x:c r="D8" s="18" t="str">
        <x:v>活動組</x:v>
      </x:c>
      <x:c r="E8" s="18" t="str">
        <x:v>補充卸貨、停車與工作人員集合點</x:v>
      </x:c>
      <x:c r="F8" s="18" t="str">
        <x:v>2026-07-20</x:v>
      </x:c>
      <x:c r="G8" s="18" t="str"/>
    </x:row>
    <x:row r="9">
      <x:c r="A9" s="18" t="str">
        <x:v>活動規模</x:v>
      </x:c>
      <x:c r="B9" s="18" t="str">
        <x:v>預估來客500-1000人</x:v>
      </x:c>
      <x:c r="C9" s="20" t="str">
        <x:v>進行中</x:v>
      </x:c>
      <x:c r="D9" s="18" t="str">
        <x:v>行銷組</x:v>
      </x:c>
      <x:c r="E9" s="18" t="str">
        <x:v>建立KPI口徑：人流、營業額、曝光、問卷</x:v>
      </x:c>
      <x:c r="F9" s="18" t="str">
        <x:v>2026-07-31</x:v>
      </x:c>
      <x:c r="G9" s="18" t="str"/>
    </x:row>
    <x:row r="10">
      <x:c r="A10" s="18" t="str">
        <x:v>攤位配置</x:v>
      </x:c>
      <x:c r="B10" s="18" t="str">
        <x:v>38攤：多元培力22攤、微創鳳凰12攤、主題攤位4攤</x:v>
      </x:c>
      <x:c r="C10" s="20" t="str">
        <x:v>進行中</x:v>
      </x:c>
      <x:c r="D10" s="18" t="str">
        <x:v>招商組</x:v>
      </x:c>
      <x:c r="E10" s="18" t="str">
        <x:v>確認單位名單與展攤需求</x:v>
      </x:c>
      <x:c r="F10" s="18" t="str">
        <x:v>2026-07-31</x:v>
      </x:c>
      <x:c r="G10" s="18" t="str">
        <x:v>表單回覆需轉入攤位管理頁</x:v>
      </x:c>
    </x:row>
    <x:row r="11">
      <x:c r="A11" s="18" t="str">
        <x:v>籌備階段</x:v>
      </x:c>
      <x:c r="B11" s="18" t="str">
        <x:v>5月啟動，分籌備期、推廣期、執行宣傳期、收尾期</x:v>
      </x:c>
      <x:c r="C11" s="19" t="str">
        <x:v>已完成</x:v>
      </x:c>
      <x:c r="D11" s="18" t="str">
        <x:v>專案統籌</x:v>
      </x:c>
      <x:c r="E11" s="18" t="str">
        <x:v>轉成甘特圖與會議追蹤</x:v>
      </x:c>
      <x:c r="F11" s="18" t="str">
        <x:v>2026-07-10</x:v>
      </x:c>
      <x:c r="G11" s="18" t="str"/>
    </x:row>
    <x:row r="12">
      <x:c r="A12" s="18" t="str">
        <x:v>場租付款</x:v>
      </x:c>
      <x:c r="B12" s="18" t="str">
        <x:v>10/2增租場佈，已付4,500元，後續尾款與押金待處理</x:v>
      </x:c>
      <x:c r="C12" s="21" t="str">
        <x:v>待確認</x:v>
      </x:c>
      <x:c r="D12" s="18" t="str">
        <x:v>行政財務</x:v>
      </x:c>
      <x:c r="E12" s="18" t="str">
        <x:v>確認尾款金額與付款日；10/3押金10,000元現場處理</x:v>
      </x:c>
      <x:c r="F12" s="18" t="str">
        <x:v>2026-09-20</x:v>
      </x:c>
      <x:c r="G12" s="18" t="str">
        <x:v>原文件寫尾款將於10/2支付，金額需複核</x:v>
      </x:c>
    </x:row>
    <x:row r="13">
      <x:c r="A13" s="18" t="str">
        <x:v>核心缺口</x:v>
      </x:c>
      <x:c r="B13" s="18" t="str">
        <x:v>人員分工表多處為待確認</x:v>
      </x:c>
      <x:c r="C13" s="21" t="str">
        <x:v>待確認</x:v>
      </x:c>
      <x:c r="D13" s="18" t="str">
        <x:v>總指揮/總協調</x:v>
      </x:c>
      <x:c r="E13" s="18" t="str">
        <x:v>完成組長、組員、現場通訊與代理人</x:v>
      </x:c>
      <x:c r="F13" s="18" t="str">
        <x:v>2026-07-20</x:v>
      </x:c>
      <x:c r="G13" s="18" t="str">
        <x:v>優先補總指揮、總協調、公關、貴賓、服務台、舞台組</x:v>
      </x:c>
    </x:row>
  </x:sheetData>
  <x:mergeCells>
    <x:mergeCell ref="A1:G1"/>
    <x:mergeCell ref="A2:G2"/>
    <x:mergeCell ref="I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6" hidden="0" customWidth="1"/>
    <x:col min="4" max="4" width="32" hidden="0" customWidth="1"/>
    <x:col min="5" max="5" width="18" hidden="0" customWidth="1"/>
    <x:col min="6" max="6" width="14" hidden="0" customWidth="1"/>
    <x:col min="7" max="7" width="10" hidden="0" customWidth="1"/>
    <x:col min="8" max="8" width="30" hidden="0" customWidth="1"/>
  </x:cols>
  <x:sheetData>
    <x:row r="1">
      <x:c r="A1" s="14" t="str">
        <x:v>WBS工作分解｜把活動拆成可派工的工作包</x:v>
      </x:c>
      <x:c r="B1" s="14" t="str"/>
      <x:c r="C1" s="14" t="str"/>
      <x:c r="D1" s="14" t="str"/>
      <x:c r="E1" s="14" t="str"/>
      <x:c r="F1" s="14" t="str"/>
      <x:c r="G1" s="14" t="str"/>
      <x:c r="H1" s="14" t="str"/>
    </x:row>
    <x:row r="2">
      <x:c r="A2" s="15" t="str">
        <x:v>用途：確認事情沒有漏，並把每個工作包接到甘特、RACI、預算與會議待辦。</x:v>
      </x:c>
      <x:c r="B2" s="15" t="str"/>
      <x:c r="C2" s="15" t="str"/>
      <x:c r="D2" s="15" t="str"/>
      <x:c r="E2" s="15" t="str"/>
      <x:c r="F2" s="15" t="str"/>
      <x:c r="G2" s="15" t="str"/>
      <x:c r="H2" s="15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</x:row>
    <x:row r="4">
      <x:c r="A4" s="17" t="str">
        <x:v>編號</x:v>
      </x:c>
      <x:c r="B4" s="17" t="str">
        <x:v>工作包</x:v>
      </x:c>
      <x:c r="C4" s="17" t="str">
        <x:v>子項</x:v>
      </x:c>
      <x:c r="D4" s="17" t="str">
        <x:v>交付物</x:v>
      </x:c>
      <x:c r="E4" s="17" t="str">
        <x:v>主責組</x:v>
      </x:c>
      <x:c r="F4" s="17" t="str">
        <x:v>狀態</x:v>
      </x:c>
      <x:c r="G4" s="17" t="str">
        <x:v>優先</x:v>
      </x:c>
      <x:c r="H4" s="17" t="str">
        <x:v>依據資料</x:v>
      </x:c>
    </x:row>
    <x:row r="5">
      <x:c r="A5" s="18" t="str">
        <x:v>1</x:v>
      </x:c>
      <x:c r="B5" s="18" t="str">
        <x:v>企劃統籌</x:v>
      </x:c>
      <x:c r="C5" s="18" t="str">
        <x:v>活動定位、KPI、籌備會議、總控表維護</x:v>
      </x:c>
      <x:c r="D5" s="18" t="str">
        <x:v>活動總覽、會議決議、KPI表</x:v>
      </x:c>
      <x:c r="E5" s="18" t="str">
        <x:v>專案統籌</x:v>
      </x:c>
      <x:c r="F5" s="20" t="str">
        <x:v>進行中</x:v>
      </x:c>
      <x:c r="G5" s="18" t="str">
        <x:v>高</x:v>
      </x:c>
      <x:c r="H5" s="18" t="str">
        <x:v>一籌簡報</x:v>
      </x:c>
    </x:row>
    <x:row r="6">
      <x:c r="A6" s="18" t="str">
        <x:v>2</x:v>
      </x:c>
      <x:c r="B6" s="18" t="str">
        <x:v>場地配置</x:v>
      </x:c>
      <x:c r="C6" s="18" t="str">
        <x:v>藍晒圖配置、舞台、攤位、動線、電力、緊急出口</x:v>
      </x:c>
      <x:c r="D6" s="18" t="str">
        <x:v>場地配置圖V1/V2/定稿</x:v>
      </x:c>
      <x:c r="E6" s="18" t="str">
        <x:v>活動組</x:v>
      </x:c>
      <x:c r="F6" s="20" t="str">
        <x:v>進行中</x:v>
      </x:c>
      <x:c r="G6" s="18" t="str">
        <x:v>高</x:v>
      </x:c>
      <x:c r="H6" s="18" t="str">
        <x:v>平面圖、歷年配置圖、場地照片</x:v>
      </x:c>
    </x:row>
    <x:row r="7">
      <x:c r="A7" s="18" t="str">
        <x:v>3</x:v>
      </x:c>
      <x:c r="B7" s="18" t="str">
        <x:v>參與單位</x:v>
      </x:c>
      <x:c r="C7" s="18" t="str">
        <x:v>多元培力、微創鳳凰、主題攤位需求彙整</x:v>
      </x:c>
      <x:c r="D7" s="18" t="str">
        <x:v>攤位名單、攤位需求表、攤商須知</x:v>
      </x:c>
      <x:c r="E7" s="18" t="str">
        <x:v>招商組</x:v>
      </x:c>
      <x:c r="F7" s="21" t="str">
        <x:v>待確認</x:v>
      </x:c>
      <x:c r="G7" s="18" t="str">
        <x:v>高</x:v>
      </x:c>
      <x:c r="H7" s="18" t="str">
        <x:v>Google表單、需求調查</x:v>
      </x:c>
    </x:row>
    <x:row r="8">
      <x:c r="A8" s="18" t="str">
        <x:v>4</x:v>
      </x:c>
      <x:c r="B8" s="18" t="str">
        <x:v>宣傳行銷</x:v>
      </x:c>
      <x:c r="C8" s="18" t="str">
        <x:v>社群、戶外電視牆、路邊旗幟、廣播、新聞稿</x:v>
      </x:c>
      <x:c r="D8" s="18" t="str">
        <x:v>宣傳排程、素材清單、投放證明</x:v>
      </x:c>
      <x:c r="E8" s="18" t="str">
        <x:v>行銷組</x:v>
      </x:c>
      <x:c r="F8" s="20" t="str">
        <x:v>進行中</x:v>
      </x:c>
      <x:c r="G8" s="18" t="str">
        <x:v>高</x:v>
      </x:c>
      <x:c r="H8" s="18" t="str">
        <x:v>廣告宣傳資料夾、一籌簡報</x:v>
      </x:c>
    </x:row>
    <x:row r="9">
      <x:c r="A9" s="18" t="str">
        <x:v>5</x:v>
      </x:c>
      <x:c r="B9" s="18" t="str">
        <x:v>視覺設計</x:v>
      </x:c>
      <x:c r="C9" s="18" t="str">
        <x:v>主視覺、Logo規範、海報、EDM、攤位招牌</x:v>
      </x:c>
      <x:c r="D9" s="18" t="str">
        <x:v>主視覺定稿、設計輸出清單</x:v>
      </x:c>
      <x:c r="E9" s="18" t="str">
        <x:v>設計組</x:v>
      </x:c>
      <x:c r="F9" s="21" t="str">
        <x:v>待確認</x:v>
      </x:c>
      <x:c r="G9" s="18" t="str">
        <x:v>高</x:v>
      </x:c>
      <x:c r="H9" s="18" t="str">
        <x:v>Logo檔、主題展示方案</x:v>
      </x:c>
    </x:row>
    <x:row r="10">
      <x:c r="A10" s="18" t="str">
        <x:v>6</x:v>
      </x:c>
      <x:c r="B10" s="18" t="str">
        <x:v>舞台活動</x:v>
      </x:c>
      <x:c r="C10" s="18" t="str">
        <x:v>開場、致詞、啟動儀式、表演、摸彩</x:v>
      </x:c>
      <x:c r="D10" s="18" t="str">
        <x:v>Run Sheet、主持稿、舞台cue表</x:v>
      </x:c>
      <x:c r="E10" s="18" t="str">
        <x:v>舞台組</x:v>
      </x:c>
      <x:c r="F10" s="20" t="str">
        <x:v>進行中</x:v>
      </x:c>
      <x:c r="G10" s="18" t="str">
        <x:v>中</x:v>
      </x:c>
      <x:c r="H10" s="18" t="str">
        <x:v>一籌簡報活動流程</x:v>
      </x:c>
    </x:row>
    <x:row r="11">
      <x:c r="A11" s="18" t="str">
        <x:v>7</x:v>
      </x:c>
      <x:c r="B11" s="18" t="str">
        <x:v>促銷活動</x:v>
      </x:c>
      <x:c r="C11" s="18" t="str">
        <x:v>打卡禮、集點抽靚品、早鳥禮、多元即享贈</x:v>
      </x:c>
      <x:c r="D11" s="18" t="str">
        <x:v>活動規則、兌換流程、服務台SOP</x:v>
      </x:c>
      <x:c r="E11" s="18" t="str">
        <x:v>行銷組/服務台</x:v>
      </x:c>
      <x:c r="F11" s="21" t="str">
        <x:v>待確認</x:v>
      </x:c>
      <x:c r="G11" s="18" t="str">
        <x:v>高</x:v>
      </x:c>
      <x:c r="H11" s="18" t="str">
        <x:v>一籌簡報、獎品清單</x:v>
      </x:c>
    </x:row>
    <x:row r="12">
      <x:c r="A12" s="18" t="str">
        <x:v>8</x:v>
      </x:c>
      <x:c r="B12" s="18" t="str">
        <x:v>貴賓媒體</x:v>
      </x:c>
      <x:c r="C12" s="18" t="str">
        <x:v>貴賓接待、媒體聯訪、巡禮路線、拍照點</x:v>
      </x:c>
      <x:c r="D12" s="18" t="str">
        <x:v>邀請名單、接待流程、媒體包</x:v>
      </x:c>
      <x:c r="E12" s="18" t="str">
        <x:v>公關媒體組</x:v>
      </x:c>
      <x:c r="F12" s="21" t="str">
        <x:v>待確認</x:v>
      </x:c>
      <x:c r="G12" s="18" t="str">
        <x:v>高</x:v>
      </x:c>
      <x:c r="H12" s="18" t="str">
        <x:v>一籌簡報人員分工</x:v>
      </x:c>
    </x:row>
    <x:row r="13">
      <x:c r="A13" s="18" t="str">
        <x:v>9</x:v>
      </x:c>
      <x:c r="B13" s="18" t="str">
        <x:v>人力調度</x:v>
      </x:c>
      <x:c r="C13" s="18" t="str">
        <x:v>組別、組長、臨時工、對講機、教育訓練</x:v>
      </x:c>
      <x:c r="D13" s="18" t="str">
        <x:v>人力配置表、教育訓練紀錄</x:v>
      </x:c>
      <x:c r="E13" s="18" t="str">
        <x:v>人力組</x:v>
      </x:c>
      <x:c r="F13" s="21" t="str">
        <x:v>待確認</x:v>
      </x:c>
      <x:c r="G13" s="18" t="str">
        <x:v>高</x:v>
      </x:c>
      <x:c r="H13" s="18" t="str">
        <x:v>一籌簡報</x:v>
      </x:c>
    </x:row>
    <x:row r="14">
      <x:c r="A14" s="18" t="str">
        <x:v>10</x:v>
      </x:c>
      <x:c r="B14" s="18" t="str">
        <x:v>採購財務</x:v>
      </x:c>
      <x:c r="C14" s="18" t="str">
        <x:v>場租、押金、廣告、獎品、物料、核銷</x:v>
      </x:c>
      <x:c r="D14" s="18" t="str">
        <x:v>預算付款表、採購清單、收據</x:v>
      </x:c>
      <x:c r="E14" s="18" t="str">
        <x:v>行政財務</x:v>
      </x:c>
      <x:c r="F14" s="20" t="str">
        <x:v>進行中</x:v>
      </x:c>
      <x:c r="G14" s="18" t="str">
        <x:v>高</x:v>
      </x:c>
      <x:c r="H14" s="18" t="str">
        <x:v>場租說明、獎品清單</x:v>
      </x:c>
    </x:row>
    <x:row r="15">
      <x:c r="A15" s="18" t="str">
        <x:v>11</x:v>
      </x:c>
      <x:c r="B15" s="18" t="str">
        <x:v>風險應變</x:v>
      </x:c>
      <x:c r="C15" s="18" t="str">
        <x:v>雨備、人潮、電力、醫療、撤場、負評</x:v>
      </x:c>
      <x:c r="D15" s="18" t="str">
        <x:v>風險矩陣、通報流程</x:v>
      </x:c>
      <x:c r="E15" s="18" t="str">
        <x:v>行政組/活動組</x:v>
      </x:c>
      <x:c r="F15" s="21" t="str">
        <x:v>待確認</x:v>
      </x:c>
      <x:c r="G15" s="18" t="str">
        <x:v>高</x:v>
      </x:c>
      <x:c r="H15" s="18" t="str">
        <x:v>一籌簡報安全與許可</x:v>
      </x:c>
    </x:row>
    <x:row r="16">
      <x:c r="A16" s="18" t="str">
        <x:v>12</x:v>
      </x:c>
      <x:c r="B16" s="18" t="str">
        <x:v>結案成果</x:v>
      </x:c>
      <x:c r="C16" s="18" t="str">
        <x:v>照片、影片、新聞露出、KPI、檢討會</x:v>
      </x:c>
      <x:c r="D16" s="18" t="str">
        <x:v>成果報告、素材庫、SOP更新</x:v>
      </x:c>
      <x:c r="E16" s="18" t="str">
        <x:v>行銷主管/全體</x:v>
      </x:c>
      <x:c r="F16" s="22" t="str">
        <x:v>未開始</x:v>
      </x:c>
      <x:c r="G16" s="18" t="str">
        <x:v>中</x:v>
      </x:c>
      <x:c r="H16" s="18" t="str">
        <x:v>收尾期規劃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34" hidden="0" customWidth="1"/>
    <x:col min="9" max="9" width="34" hidden="0" customWidth="1"/>
  </x:cols>
  <x:sheetData>
    <x:row r="1">
      <x:c r="A1" s="14" t="str">
        <x:v>總控甘特｜2026/7-2026/10關鍵節點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</x:row>
    <x:row r="2">
      <x:c r="A2" s="15" t="str">
        <x:v>用途：每週籌備會以此頁追進度。建議每列只放一個可完成、可交付、可判定狀態的任務。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</x:row>
    <x:row r="4">
      <x:c r="A4" s="17" t="str">
        <x:v>階段</x:v>
      </x:c>
      <x:c r="B4" s="17" t="str">
        <x:v>任務</x:v>
      </x:c>
      <x:c r="C4" s="17" t="str">
        <x:v>主責</x:v>
      </x:c>
      <x:c r="D4" s="17" t="str">
        <x:v>開始日</x:v>
      </x:c>
      <x:c r="E4" s="17" t="str">
        <x:v>截止日</x:v>
      </x:c>
      <x:c r="F4" s="17" t="str">
        <x:v>狀態</x:v>
      </x:c>
      <x:c r="G4" s="17" t="str">
        <x:v>前置條件</x:v>
      </x:c>
      <x:c r="H4" s="17" t="str">
        <x:v>交付物</x:v>
      </x:c>
      <x:c r="I4" s="17" t="str">
        <x:v>備註</x:v>
      </x:c>
    </x:row>
    <x:row r="5">
      <x:c r="A5" s="18" t="str">
        <x:v>籌備期</x:v>
      </x:c>
      <x:c r="B5" s="18" t="str">
        <x:v>確認活動KPI與正式主題</x:v>
      </x:c>
      <x:c r="C5" s="18" t="str">
        <x:v>專案統籌/行銷組</x:v>
      </x:c>
      <x:c r="D5" s="18" t="str">
        <x:v>2026-07-03</x:v>
      </x:c>
      <x:c r="E5" s="18" t="str">
        <x:v>2026-07-10</x:v>
      </x:c>
      <x:c r="F5" s="21" t="str">
        <x:v>待確認</x:v>
      </x:c>
      <x:c r="G5" s="18" t="str">
        <x:v>一籌簡報</x:v>
      </x:c>
      <x:c r="H5" s="18" t="str">
        <x:v>KPI與主題確認紀錄</x:v>
      </x:c>
      <x:c r="I5" s="18" t="str"/>
    </x:row>
    <x:row r="6">
      <x:c r="A6" s="18" t="str">
        <x:v>籌備期</x:v>
      </x:c>
      <x:c r="B6" s="18" t="str">
        <x:v>補齊組織分工與各組組長</x:v>
      </x:c>
      <x:c r="C6" s="18" t="str">
        <x:v>專案統籌</x:v>
      </x:c>
      <x:c r="D6" s="18" t="str">
        <x:v>2026-07-03</x:v>
      </x:c>
      <x:c r="E6" s="18" t="str">
        <x:v>2026-07-20</x:v>
      </x:c>
      <x:c r="F6" s="21" t="str">
        <x:v>待確認</x:v>
      </x:c>
      <x:c r="G6" s="18" t="str">
        <x:v>人員名單</x:v>
      </x:c>
      <x:c r="H6" s="18" t="str">
        <x:v>RACI分工表</x:v>
      </x:c>
      <x:c r="I6" s="18" t="str">
        <x:v>總指揮、總協調優先</x:v>
      </x:c>
    </x:row>
    <x:row r="7">
      <x:c r="A7" s="18" t="str">
        <x:v>籌備期</x:v>
      </x:c>
      <x:c r="B7" s="18" t="str">
        <x:v>整理參與需求調查回覆</x:v>
      </x:c>
      <x:c r="C7" s="18" t="str">
        <x:v>招商組</x:v>
      </x:c>
      <x:c r="D7" s="18" t="str">
        <x:v>2026-07-03</x:v>
      </x:c>
      <x:c r="E7" s="18" t="str">
        <x:v>2026-07-31</x:v>
      </x:c>
      <x:c r="F7" s="21" t="str">
        <x:v>待確認</x:v>
      </x:c>
      <x:c r="G7" s="18" t="str">
        <x:v>Google表單回覆</x:v>
      </x:c>
      <x:c r="H7" s="18" t="str">
        <x:v>單位名單與攤位需求</x:v>
      </x:c>
      <x:c r="I7" s="18" t="str">
        <x:v>需取得回覆試算表</x:v>
      </x:c>
    </x:row>
    <x:row r="8">
      <x:c r="A8" s="18" t="str">
        <x:v>籌備期</x:v>
      </x:c>
      <x:c r="B8" s="18" t="str">
        <x:v>完成場地配置圖V1</x:v>
      </x:c>
      <x:c r="C8" s="18" t="str">
        <x:v>活動組</x:v>
      </x:c>
      <x:c r="D8" s="18" t="str">
        <x:v>2026-07-10</x:v>
      </x:c>
      <x:c r="E8" s="18" t="str">
        <x:v>2026-07-31</x:v>
      </x:c>
      <x:c r="F8" s="20" t="str">
        <x:v>進行中</x:v>
      </x:c>
      <x:c r="G8" s="18" t="str">
        <x:v>園區圖、歷年配置圖</x:v>
      </x:c>
      <x:c r="H8" s="18" t="str">
        <x:v>配置圖V1</x:v>
      </x:c>
      <x:c r="I8" s="18" t="str">
        <x:v>含舞台、服務台、攤位、動線</x:v>
      </x:c>
    </x:row>
    <x:row r="9">
      <x:c r="A9" s="18" t="str">
        <x:v>籌備期</x:v>
      </x:c>
      <x:c r="B9" s="18" t="str">
        <x:v>確認主視覺設計方向與設計師</x:v>
      </x:c>
      <x:c r="C9" s="18" t="str">
        <x:v>設計組</x:v>
      </x:c>
      <x:c r="D9" s="18" t="str">
        <x:v>2026-07-03</x:v>
      </x:c>
      <x:c r="E9" s="18" t="str">
        <x:v>2026-07-31</x:v>
      </x:c>
      <x:c r="F9" s="21" t="str">
        <x:v>待確認</x:v>
      </x:c>
      <x:c r="G9" s="18" t="str">
        <x:v>主題展示方案A/B/C</x:v>
      </x:c>
      <x:c r="H9" s="18" t="str">
        <x:v>主視覺brief</x:v>
      </x:c>
      <x:c r="I9" s="18" t="str"/>
    </x:row>
    <x:row r="10">
      <x:c r="A10" s="18" t="str">
        <x:v>推廣期</x:v>
      </x:c>
      <x:c r="B10" s="18" t="str">
        <x:v>廠商與單位名單定稿</x:v>
      </x:c>
      <x:c r="C10" s="18" t="str">
        <x:v>招商組</x:v>
      </x:c>
      <x:c r="D10" s="18" t="str">
        <x:v>2026-08-01</x:v>
      </x:c>
      <x:c r="E10" s="18" t="str">
        <x:v>2026-08-15</x:v>
      </x:c>
      <x:c r="F10" s="22" t="str">
        <x:v>未開始</x:v>
      </x:c>
      <x:c r="G10" s="18" t="str">
        <x:v>需求調查彙整</x:v>
      </x:c>
      <x:c r="H10" s="18" t="str">
        <x:v>最終名單與備取表</x:v>
      </x:c>
      <x:c r="I10" s="18" t="str"/>
    </x:row>
    <x:row r="11">
      <x:c r="A11" s="18" t="str">
        <x:v>推廣期</x:v>
      </x:c>
      <x:c r="B11" s="18" t="str">
        <x:v>攤位配置圖V2與攤商須知</x:v>
      </x:c>
      <x:c r="C11" s="18" t="str">
        <x:v>活動組/招商組</x:v>
      </x:c>
      <x:c r="D11" s="18" t="str">
        <x:v>2026-08-01</x:v>
      </x:c>
      <x:c r="E11" s="18" t="str">
        <x:v>2026-08-20</x:v>
      </x:c>
      <x:c r="F11" s="22" t="str">
        <x:v>未開始</x:v>
      </x:c>
      <x:c r="G11" s="18" t="str">
        <x:v>名單定稿</x:v>
      </x:c>
      <x:c r="H11" s="18" t="str">
        <x:v>攤商須知、配置圖V2</x:v>
      </x:c>
      <x:c r="I11" s="18" t="str"/>
    </x:row>
    <x:row r="12">
      <x:c r="A12" s="18" t="str">
        <x:v>推廣期</x:v>
      </x:c>
      <x:c r="B12" s="18" t="str">
        <x:v>宣傳素材產出</x:v>
      </x:c>
      <x:c r="C12" s="18" t="str">
        <x:v>行銷組/設計組</x:v>
      </x:c>
      <x:c r="D12" s="18" t="str">
        <x:v>2026-08-01</x:v>
      </x:c>
      <x:c r="E12" s="18" t="str">
        <x:v>2026-08-31</x:v>
      </x:c>
      <x:c r="F12" s="22" t="str">
        <x:v>未開始</x:v>
      </x:c>
      <x:c r="G12" s="18" t="str">
        <x:v>主視覺定稿</x:v>
      </x:c>
      <x:c r="H12" s="18" t="str">
        <x:v>海報、EDM、社群圖、短影音素材</x:v>
      </x:c>
      <x:c r="I12" s="18" t="str"/>
    </x:row>
    <x:row r="13">
      <x:c r="A13" s="18" t="str">
        <x:v>推廣期</x:v>
      </x:c>
      <x:c r="B13" s="18" t="str">
        <x:v>臨時人力招募與培訓安排</x:v>
      </x:c>
      <x:c r="C13" s="18" t="str">
        <x:v>人力組</x:v>
      </x:c>
      <x:c r="D13" s="18" t="str">
        <x:v>2026-08-15</x:v>
      </x:c>
      <x:c r="E13" s="18" t="str">
        <x:v>2026-09-05</x:v>
      </x:c>
      <x:c r="F13" s="22" t="str">
        <x:v>未開始</x:v>
      </x:c>
      <x:c r="G13" s="18" t="str">
        <x:v>人力缺口確認</x:v>
      </x:c>
      <x:c r="H13" s="18" t="str">
        <x:v>培訓名單、排班表</x:v>
      </x:c>
      <x:c r="I13" s="18" t="str">
        <x:v>簡報建議10名臨時工</x:v>
      </x:c>
    </x:row>
    <x:row r="14">
      <x:c r="A14" s="18" t="str">
        <x:v>執行宣傳期</x:v>
      </x:c>
      <x:c r="B14" s="18" t="str">
        <x:v>戶外電視牆上刊</x:v>
      </x:c>
      <x:c r="C14" s="18" t="str">
        <x:v>行銷組</x:v>
      </x:c>
      <x:c r="D14" s="18" t="str">
        <x:v>2026-09-05</x:v>
      </x:c>
      <x:c r="E14" s="18" t="str">
        <x:v>2026-10-03</x:v>
      </x:c>
      <x:c r="F14" s="22" t="str">
        <x:v>未開始</x:v>
      </x:c>
      <x:c r="G14" s="18" t="str">
        <x:v>素材交付</x:v>
      </x:c>
      <x:c r="H14" s="18" t="str">
        <x:v>投放證明</x:v>
      </x:c>
      <x:c r="I14" s="18" t="str">
        <x:v>廣告宣傳資料夾已有報價與位置資料</x:v>
      </x:c>
    </x:row>
    <x:row r="15">
      <x:c r="A15" s="18" t="str">
        <x:v>執行宣傳期</x:v>
      </x:c>
      <x:c r="B15" s="18" t="str">
        <x:v>路邊廣告旗幟</x:v>
      </x:c>
      <x:c r="C15" s="18" t="str">
        <x:v>行銷組</x:v>
      </x:c>
      <x:c r="D15" s="18" t="str">
        <x:v>2026-09-20</x:v>
      </x:c>
      <x:c r="E15" s="18" t="str">
        <x:v>2026-10-03</x:v>
      </x:c>
      <x:c r="F15" s="22" t="str">
        <x:v>未開始</x:v>
      </x:c>
      <x:c r="G15" s="18" t="str">
        <x:v>設計完稿</x:v>
      </x:c>
      <x:c r="H15" s="18" t="str">
        <x:v>懸掛清單與照片</x:v>
      </x:c>
      <x:c r="I15" s="18" t="str"/>
    </x:row>
    <x:row r="16">
      <x:c r="A16" s="18" t="str">
        <x:v>執行宣傳期</x:v>
      </x:c>
      <x:c r="B16" s="18" t="str">
        <x:v>廣播廣告投放</x:v>
      </x:c>
      <x:c r="C16" s="18" t="str">
        <x:v>行銷組</x:v>
      </x:c>
      <x:c r="D16" s="18" t="str">
        <x:v>2026-09-23</x:v>
      </x:c>
      <x:c r="E16" s="18" t="str">
        <x:v>2026-10-03</x:v>
      </x:c>
      <x:c r="F16" s="22" t="str">
        <x:v>未開始</x:v>
      </x:c>
      <x:c r="G16" s="18" t="str">
        <x:v>廣播稿與排檔</x:v>
      </x:c>
      <x:c r="H16" s="18" t="str">
        <x:v>排檔表與播出證明</x:v>
      </x:c>
      <x:c r="I16" s="18" t="str">
        <x:v>資料夾已有20秒排檔報價</x:v>
      </x:c>
    </x:row>
    <x:row r="17">
      <x:c r="A17" s="18" t="str">
        <x:v>執行宣傳期</x:v>
      </x:c>
      <x:c r="B17" s="18" t="str">
        <x:v>全體人員說明會</x:v>
      </x:c>
      <x:c r="C17" s="18" t="str">
        <x:v>專案統籌</x:v>
      </x:c>
      <x:c r="D17" s="18" t="str">
        <x:v>2026-09-10</x:v>
      </x:c>
      <x:c r="E17" s="18" t="str">
        <x:v>2026-09-20</x:v>
      </x:c>
      <x:c r="F17" s="22" t="str">
        <x:v>未開始</x:v>
      </x:c>
      <x:c r="G17" s="18" t="str">
        <x:v>Run Sheet定稿</x:v>
      </x:c>
      <x:c r="H17" s="18" t="str">
        <x:v>說明會簡報、簽到表</x:v>
      </x:c>
      <x:c r="I17" s="18" t="str">
        <x:v>含應變SOP、對講機分配</x:v>
      </x:c>
    </x:row>
    <x:row r="18">
      <x:c r="A18" s="18" t="str">
        <x:v>執行宣傳期</x:v>
      </x:c>
      <x:c r="B18" s="18" t="str">
        <x:v>物料採購到位</x:v>
      </x:c>
      <x:c r="C18" s="18" t="str">
        <x:v>活動組/行政財務</x:v>
      </x:c>
      <x:c r="D18" s="18" t="str">
        <x:v>2026-09-01</x:v>
      </x:c>
      <x:c r="E18" s="18" t="str">
        <x:v>2026-09-20</x:v>
      </x:c>
      <x:c r="F18" s="22" t="str">
        <x:v>未開始</x:v>
      </x:c>
      <x:c r="G18" s="18" t="str">
        <x:v>採購清單</x:v>
      </x:c>
      <x:c r="H18" s="18" t="str">
        <x:v>物料點收表</x:v>
      </x:c>
      <x:c r="I18" s="18" t="str">
        <x:v>旗幟、桌椅、識別標示、周邊物品</x:v>
      </x:c>
    </x:row>
    <x:row r="19">
      <x:c r="A19" s="18" t="str">
        <x:v>執行宣傳期</x:v>
      </x:c>
      <x:c r="B19" s="18" t="str">
        <x:v>10/2場佈與設備測試</x:v>
      </x:c>
      <x:c r="C19" s="18" t="str">
        <x:v>全體/活動組</x:v>
      </x:c>
      <x:c r="D19" s="18" t="str">
        <x:v>2026-10-02</x:v>
      </x:c>
      <x:c r="E19" s="18" t="str">
        <x:v>2026-10-02</x:v>
      </x:c>
      <x:c r="F19" s="22" t="str">
        <x:v>未開始</x:v>
      </x:c>
      <x:c r="G19" s="18" t="str">
        <x:v>場地增租、物料到位</x:v>
      </x:c>
      <x:c r="H19" s="18" t="str">
        <x:v>場佈完成照片、測試紀錄</x:v>
      </x:c>
      <x:c r="I19" s="18" t="str">
        <x:v>含尾款處理</x:v>
      </x:c>
    </x:row>
    <x:row r="20">
      <x:c r="A20" s="18" t="str">
        <x:v>活動日</x:v>
      </x:c>
      <x:c r="B20" s="18" t="str">
        <x:v>10/3活動執行與撤場</x:v>
      </x:c>
      <x:c r="C20" s="18" t="str">
        <x:v>各組負責人</x:v>
      </x:c>
      <x:c r="D20" s="18" t="str">
        <x:v>2026-10-03</x:v>
      </x:c>
      <x:c r="E20" s="18" t="str">
        <x:v>2026-10-03</x:v>
      </x:c>
      <x:c r="F20" s="22" t="str">
        <x:v>未開始</x:v>
      </x:c>
      <x:c r="G20" s="18" t="str">
        <x:v>全體說明會完成</x:v>
      </x:c>
      <x:c r="H20" s="18" t="str">
        <x:v>活動執行紀錄、撤場清點</x:v>
      </x:c>
      <x:c r="I20" s="18" t="str">
        <x:v>14:00-19:00活動，19:00-20:00撤場</x:v>
      </x:c>
    </x:row>
    <x:row r="21">
      <x:c r="A21" s="18" t="str">
        <x:v>收尾期</x:v>
      </x:c>
      <x:c r="B21" s="18" t="str">
        <x:v>媒體素材與社群後續曝光</x:v>
      </x:c>
      <x:c r="C21" s="18" t="str">
        <x:v>行銷組</x:v>
      </x:c>
      <x:c r="D21" s="18" t="str">
        <x:v>2026-10-04</x:v>
      </x:c>
      <x:c r="E21" s="18" t="str">
        <x:v>2026-10-10</x:v>
      </x:c>
      <x:c r="F21" s="22" t="str">
        <x:v>未開始</x:v>
      </x:c>
      <x:c r="G21" s="18" t="str">
        <x:v>照片影片收齊</x:v>
      </x:c>
      <x:c r="H21" s="18" t="str">
        <x:v>新聞稿、精華貼文</x:v>
      </x:c>
      <x:c r="I21" s="18" t="str"/>
    </x:row>
    <x:row r="22">
      <x:c r="A22" s="18" t="str">
        <x:v>收尾期</x:v>
      </x:c>
      <x:c r="B22" s="18" t="str">
        <x:v>結算與滿意度回收</x:v>
      </x:c>
      <x:c r="C22" s="18" t="str">
        <x:v>招商組/人力組/行政財務</x:v>
      </x:c>
      <x:c r="D22" s="18" t="str">
        <x:v>2026-10-04</x:v>
      </x:c>
      <x:c r="E22" s="18" t="str">
        <x:v>2026-10-14</x:v>
      </x:c>
      <x:c r="F22" s="22" t="str">
        <x:v>未開始</x:v>
      </x:c>
      <x:c r="G22" s="18" t="str">
        <x:v>單據與問卷</x:v>
      </x:c>
      <x:c r="H22" s="18" t="str">
        <x:v>結算表、問卷摘要</x:v>
      </x:c>
      <x:c r="I22" s="18" t="str"/>
    </x:row>
    <x:row r="23">
      <x:c r="A23" s="18" t="str">
        <x:v>收尾期</x:v>
      </x:c>
      <x:c r="B23" s="18" t="str">
        <x:v>成效報告與檢討會</x:v>
      </x:c>
      <x:c r="C23" s="18" t="str">
        <x:v>行銷主管/全體</x:v>
      </x:c>
      <x:c r="D23" s="18" t="str">
        <x:v>2026-10-15</x:v>
      </x:c>
      <x:c r="E23" s="18" t="str">
        <x:v>2026-10-31</x:v>
      </x:c>
      <x:c r="F23" s="22" t="str">
        <x:v>未開始</x:v>
      </x:c>
      <x:c r="G23" s="18" t="str">
        <x:v>KPI與素材彙整</x:v>
      </x:c>
      <x:c r="H23" s="18" t="str">
        <x:v>成果報告、SOP更新</x:v>
      </x:c>
      <x:c r="I23" s="18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4" hidden="0" customWidth="1"/>
    <x:col min="5" max="5" width="24" hidden="0" customWidth="1"/>
    <x:col min="6" max="6" width="14" hidden="0" customWidth="1"/>
    <x:col min="7" max="7" width="34" hidden="0" customWidth="1"/>
  </x:cols>
  <x:sheetData>
    <x:row r="1">
      <x:c r="A1" s="14" t="str">
        <x:v>RACI分工｜避免大型活動責任模糊</x:v>
      </x:c>
      <x:c r="B1" s="14" t="str"/>
      <x:c r="C1" s="14" t="str"/>
      <x:c r="D1" s="14" t="str"/>
      <x:c r="E1" s="14" t="str"/>
      <x:c r="F1" s="14" t="str"/>
      <x:c r="G1" s="14" t="str"/>
    </x:row>
    <x:row r="2">
      <x:c r="A2" s="15" t="str">
        <x:v>用途：R=執行、A=最終負責/決策、C=諮詢協作、I=需通知。下一次籌備會先補齊姓名。</x:v>
      </x:c>
      <x:c r="B2" s="15" t="str"/>
      <x:c r="C2" s="15" t="str"/>
      <x:c r="D2" s="15" t="str"/>
      <x:c r="E2" s="15" t="str"/>
      <x:c r="F2" s="15" t="str"/>
      <x:c r="G2" s="15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</x:row>
    <x:row r="4">
      <x:c r="A4" s="17" t="str">
        <x:v>工作項目</x:v>
      </x:c>
      <x:c r="B4" s="17" t="str">
        <x:v>R 執行</x:v>
      </x:c>
      <x:c r="C4" s="17" t="str">
        <x:v>A 決策</x:v>
      </x:c>
      <x:c r="D4" s="17" t="str">
        <x:v>C 諮詢</x:v>
      </x:c>
      <x:c r="E4" s="17" t="str">
        <x:v>I 通知</x:v>
      </x:c>
      <x:c r="F4" s="17" t="str">
        <x:v>目前狀態</x:v>
      </x:c>
      <x:c r="G4" s="17" t="str">
        <x:v>待補資訊</x:v>
      </x:c>
    </x:row>
    <x:row r="5">
      <x:c r="A5" s="18" t="str">
        <x:v>活動總控與進度追蹤</x:v>
      </x:c>
      <x:c r="B5" s="18" t="str">
        <x:v>專案統籌</x:v>
      </x:c>
      <x:c r="C5" s="18" t="str">
        <x:v>總指揮</x:v>
      </x:c>
      <x:c r="D5" s="18" t="str">
        <x:v>各組組長</x:v>
      </x:c>
      <x:c r="E5" s="18" t="str">
        <x:v>全體同仁</x:v>
      </x:c>
      <x:c r="F5" s="21" t="str">
        <x:v>待確認</x:v>
      </x:c>
      <x:c r="G5" s="18" t="str">
        <x:v>總指揮姓名、會議節奏</x:v>
      </x:c>
    </x:row>
    <x:row r="6">
      <x:c r="A6" s="18" t="str">
        <x:v>場地租賃與付款</x:v>
      </x:c>
      <x:c r="B6" s="18" t="str">
        <x:v>行政財務</x:v>
      </x:c>
      <x:c r="C6" s="18" t="str">
        <x:v>總協調</x:v>
      </x:c>
      <x:c r="D6" s="18" t="str">
        <x:v>活動組、場地方</x:v>
      </x:c>
      <x:c r="E6" s="18" t="str">
        <x:v>專案統籌</x:v>
      </x:c>
      <x:c r="F6" s="20" t="str">
        <x:v>進行中</x:v>
      </x:c>
      <x:c r="G6" s="18" t="str">
        <x:v>尾款金額複核、押金保管人</x:v>
      </x:c>
    </x:row>
    <x:row r="7">
      <x:c r="A7" s="18" t="str">
        <x:v>場地配置與動線</x:v>
      </x:c>
      <x:c r="B7" s="18" t="str">
        <x:v>活動組</x:v>
      </x:c>
      <x:c r="C7" s="18" t="str">
        <x:v>總協調</x:v>
      </x:c>
      <x:c r="D7" s="18" t="str">
        <x:v>場地方、招商組</x:v>
      </x:c>
      <x:c r="E7" s="18" t="str">
        <x:v>各組組長</x:v>
      </x:c>
      <x:c r="F7" s="20" t="str">
        <x:v>進行中</x:v>
      </x:c>
      <x:c r="G7" s="18" t="str">
        <x:v>配置圖V1審核人</x:v>
      </x:c>
    </x:row>
    <x:row r="8">
      <x:c r="A8" s="18" t="str">
        <x:v>攤位單位確認</x:v>
      </x:c>
      <x:c r="B8" s="18" t="str">
        <x:v>招商組</x:v>
      </x:c>
      <x:c r="C8" s="18" t="str">
        <x:v>專案統籌</x:v>
      </x:c>
      <x:c r="D8" s="18" t="str">
        <x:v>多元培力/微創窗口</x:v>
      </x:c>
      <x:c r="E8" s="18" t="str">
        <x:v>活動組、設計組</x:v>
      </x:c>
      <x:c r="F8" s="21" t="str">
        <x:v>待確認</x:v>
      </x:c>
      <x:c r="G8" s="18" t="str">
        <x:v>Google表單回覆與最終名單</x:v>
      </x:c>
    </x:row>
    <x:row r="9">
      <x:c r="A9" s="18" t="str">
        <x:v>主視覺與輸出物</x:v>
      </x:c>
      <x:c r="B9" s="18" t="str">
        <x:v>設計組</x:v>
      </x:c>
      <x:c r="C9" s="18" t="str">
        <x:v>專案統籌</x:v>
      </x:c>
      <x:c r="D9" s="18" t="str">
        <x:v>行銷組、主辦單位</x:v>
      </x:c>
      <x:c r="E9" s="18" t="str">
        <x:v>活動組、招商組</x:v>
      </x:c>
      <x:c r="F9" s="21" t="str">
        <x:v>待確認</x:v>
      </x:c>
      <x:c r="G9" s="18" t="str">
        <x:v>設計師、定稿日</x:v>
      </x:c>
    </x:row>
    <x:row r="10">
      <x:c r="A10" s="18" t="str">
        <x:v>社群與廣告投放</x:v>
      </x:c>
      <x:c r="B10" s="18" t="str">
        <x:v>行銷組</x:v>
      </x:c>
      <x:c r="C10" s="18" t="str">
        <x:v>行銷主管</x:v>
      </x:c>
      <x:c r="D10" s="18" t="str">
        <x:v>設計組、廣告廠商</x:v>
      </x:c>
      <x:c r="E10" s="18" t="str">
        <x:v>專案統籌</x:v>
      </x:c>
      <x:c r="F10" s="20" t="str">
        <x:v>進行中</x:v>
      </x:c>
      <x:c r="G10" s="18" t="str">
        <x:v>各媒體預算與素材尺寸</x:v>
      </x:c>
    </x:row>
    <x:row r="11">
      <x:c r="A11" s="18" t="str">
        <x:v>媒體與貴賓接待</x:v>
      </x:c>
      <x:c r="B11" s="18" t="str">
        <x:v>公關媒體組/貴賓組</x:v>
      </x:c>
      <x:c r="C11" s="18" t="str">
        <x:v>總指揮</x:v>
      </x:c>
      <x:c r="D11" s="18" t="str">
        <x:v>主辦單位、主持人</x:v>
      </x:c>
      <x:c r="E11" s="18" t="str">
        <x:v>服務台、舞台組</x:v>
      </x:c>
      <x:c r="F11" s="21" t="str">
        <x:v>待確認</x:v>
      </x:c>
      <x:c r="G11" s="18" t="str">
        <x:v>名單、路線、聯訪位置</x:v>
      </x:c>
    </x:row>
    <x:row r="12">
      <x:c r="A12" s="18" t="str">
        <x:v>舞台節目與主持</x:v>
      </x:c>
      <x:c r="B12" s="18" t="str">
        <x:v>舞台組</x:v>
      </x:c>
      <x:c r="C12" s="18" t="str">
        <x:v>總協調</x:v>
      </x:c>
      <x:c r="D12" s="18" t="str">
        <x:v>主持人、表演團體</x:v>
      </x:c>
      <x:c r="E12" s="18" t="str">
        <x:v>公關媒體組</x:v>
      </x:c>
      <x:c r="F12" s="20" t="str">
        <x:v>進行中</x:v>
      </x:c>
      <x:c r="G12" s="18" t="str">
        <x:v>主持人與表演團體確認</x:v>
      </x:c>
    </x:row>
    <x:row r="13">
      <x:c r="A13" s="18" t="str">
        <x:v>促銷兌換與抽獎</x:v>
      </x:c>
      <x:c r="B13" s="18" t="str">
        <x:v>服務台/行銷組</x:v>
      </x:c>
      <x:c r="C13" s="18" t="str">
        <x:v>總協調</x:v>
      </x:c>
      <x:c r="D13" s="18" t="str">
        <x:v>行政財務、招商組</x:v>
      </x:c>
      <x:c r="E13" s="18" t="str">
        <x:v>全體工作人員</x:v>
      </x:c>
      <x:c r="F13" s="21" t="str">
        <x:v>待確認</x:v>
      </x:c>
      <x:c r="G13" s="18" t="str">
        <x:v>規則、獎品保管、兌換流程</x:v>
      </x:c>
    </x:row>
    <x:row r="14">
      <x:c r="A14" s="18" t="str">
        <x:v>現場安全與應變</x:v>
      </x:c>
      <x:c r="B14" s="18" t="str">
        <x:v>行政組/活動組</x:v>
      </x:c>
      <x:c r="C14" s="18" t="str">
        <x:v>總指揮</x:v>
      </x:c>
      <x:c r="D14" s="18" t="str">
        <x:v>場地方、保險、醫護</x:v>
      </x:c>
      <x:c r="E14" s="18" t="str">
        <x:v>全體工作人員</x:v>
      </x:c>
      <x:c r="F14" s="21" t="str">
        <x:v>待確認</x:v>
      </x:c>
      <x:c r="G14" s="18" t="str">
        <x:v>通報流程、雨備、緊急集合點</x:v>
      </x:c>
    </x:row>
    <x:row r="15">
      <x:c r="A15" s="18" t="str">
        <x:v>撤場與復原</x:v>
      </x:c>
      <x:c r="B15" s="18" t="str">
        <x:v>活動組</x:v>
      </x:c>
      <x:c r="C15" s="18" t="str">
        <x:v>總協調</x:v>
      </x:c>
      <x:c r="D15" s="18" t="str">
        <x:v>攤商、場地方</x:v>
      </x:c>
      <x:c r="E15" s="18" t="str">
        <x:v>行政財務</x:v>
      </x:c>
      <x:c r="F15" s="22" t="str">
        <x:v>未開始</x:v>
      </x:c>
      <x:c r="G15" s="18" t="str">
        <x:v>物料清點表、押金退回條件</x:v>
      </x:c>
    </x:row>
    <x:row r="16">
      <x:c r="A16" s="18" t="str">
        <x:v>成果報告</x:v>
      </x:c>
      <x:c r="B16" s="18" t="str">
        <x:v>行銷組/專案統籌</x:v>
      </x:c>
      <x:c r="C16" s="18" t="str">
        <x:v>行銷主管</x:v>
      </x:c>
      <x:c r="D16" s="18" t="str">
        <x:v>各組組長</x:v>
      </x:c>
      <x:c r="E16" s="18" t="str">
        <x:v>主辦單位</x:v>
      </x:c>
      <x:c r="F16" s="22" t="str">
        <x:v>未開始</x:v>
      </x:c>
      <x:c r="G16" s="18" t="str">
        <x:v>KPI資料來源與結案格式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12" hidden="0" customWidth="1"/>
    <x:col min="5" max="5" width="24" hidden="0" customWidth="1"/>
    <x:col min="6" max="6" width="20" hidden="0" customWidth="1"/>
    <x:col min="7" max="7" width="24" hidden="0" customWidth="1"/>
    <x:col min="8" max="8" width="20" hidden="0" customWidth="1"/>
    <x:col min="9" max="9" width="28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>
      <x:c r="A1" s="14" t="str">
        <x:v>攤位與參與單位管理｜38攤需求彙整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</x:row>
    <x:row r="2">
      <x:c r="A2" s="15" t="str">
        <x:v>用途：整合Google表單回覆、攤位分配、設備需求與特殊提醒。取得回覆試算表後直接貼入此頁。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  <x:c r="J2" s="15" t="str"/>
      <x:c r="K2" s="15" t="str"/>
      <x:c r="L2" s="15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  <x:c r="L3" s="16" t="str"/>
    </x:row>
    <x:row r="4">
      <x:c r="A4" s="17" t="str">
        <x:v>類別</x:v>
      </x:c>
      <x:c r="B4" s="17" t="str">
        <x:v>目標攤數</x:v>
      </x:c>
      <x:c r="C4" s="17" t="str">
        <x:v>單位/攤位名稱</x:v>
      </x:c>
      <x:c r="D4" s="17" t="str">
        <x:v>縣市</x:v>
      </x:c>
      <x:c r="E4" s="17" t="str">
        <x:v>商品/服務</x:v>
      </x:c>
      <x:c r="F4" s="17" t="str">
        <x:v>用電需求</x:v>
      </x:c>
      <x:c r="G4" s="17" t="str">
        <x:v>桌椅需求</x:v>
      </x:c>
      <x:c r="H4" s="17" t="str">
        <x:v>招牌資料</x:v>
      </x:c>
      <x:c r="I4" s="17" t="str">
        <x:v>特殊需求</x:v>
      </x:c>
      <x:c r="J4" s="17" t="str">
        <x:v>攤位編號</x:v>
      </x:c>
      <x:c r="K4" s="17" t="str">
        <x:v>狀態</x:v>
      </x:c>
      <x:c r="L4" s="17" t="str">
        <x:v>負責人</x:v>
      </x:c>
    </x:row>
    <x:row r="5">
      <x:c r="A5" s="18" t="str">
        <x:v>多元培力</x:v>
      </x:c>
      <x:c r="B5" s="18" t="n">
        <x:v>22</x:v>
      </x:c>
      <x:c r="C5" s="18" t="str">
        <x:v>待匯入表單回覆</x:v>
      </x:c>
      <x:c r="D5" s="18" t="str">
        <x:v>雲嘉南</x:v>
      </x:c>
      <x:c r="E5" s="18" t="str"/>
      <x:c r="F5" s="18" t="str">
        <x:v>110V x 3插（預設）</x:v>
      </x:c>
      <x:c r="G5" s="18" t="str">
        <x:v>180x60cm長桌、桌巾</x:v>
      </x:c>
      <x:c r="H5" s="18" t="str">
        <x:v>單位簡介牌</x:v>
      </x:c>
      <x:c r="I5" s="18" t="str"/>
      <x:c r="J5" s="18" t="str"/>
      <x:c r="K5" s="21" t="str">
        <x:v>待確認</x:v>
      </x:c>
      <x:c r="L5" s="18" t="str">
        <x:v>招商組</x:v>
      </x:c>
    </x:row>
    <x:row r="6">
      <x:c r="A6" s="18" t="str">
        <x:v>微創鳳凰</x:v>
      </x:c>
      <x:c r="B6" s="18" t="n">
        <x:v>12</x:v>
      </x:c>
      <x:c r="C6" s="18" t="str">
        <x:v>待匯入表單回覆</x:v>
      </x:c>
      <x:c r="D6" s="18" t="str">
        <x:v>雲嘉南</x:v>
      </x:c>
      <x:c r="E6" s="18" t="str"/>
      <x:c r="F6" s="18" t="str">
        <x:v>110V x 3插（預設）</x:v>
      </x:c>
      <x:c r="G6" s="18" t="str">
        <x:v>180x60cm長桌、桌巾</x:v>
      </x:c>
      <x:c r="H6" s="18" t="str">
        <x:v>單位簡介牌</x:v>
      </x:c>
      <x:c r="I6" s="18" t="str"/>
      <x:c r="J6" s="18" t="str"/>
      <x:c r="K6" s="21" t="str">
        <x:v>待確認</x:v>
      </x:c>
      <x:c r="L6" s="18" t="str">
        <x:v>招商組</x:v>
      </x:c>
    </x:row>
    <x:row r="7">
      <x:c r="A7" s="18" t="str">
        <x:v>服務台</x:v>
      </x:c>
      <x:c r="B7" s="18" t="n">
        <x:v>2</x:v>
      </x:c>
      <x:c r="C7" s="18" t="str">
        <x:v>大會服務台/兌獎桌</x:v>
      </x:c>
      <x:c r="D7" s="18" t="str">
        <x:v>台南</x:v>
      </x:c>
      <x:c r="E7" s="18" t="str">
        <x:v>簽到、解說、兌獎</x:v>
      </x:c>
      <x:c r="F7" s="18" t="str">
        <x:v>需確認</x:v>
      </x:c>
      <x:c r="G7" s="18" t="str">
        <x:v>桌椅、背板、指示牌</x:v>
      </x:c>
      <x:c r="H7" s="18" t="str">
        <x:v>服務台牌</x:v>
      </x:c>
      <x:c r="I7" s="18" t="str">
        <x:v>現金折抵券/摸彩券保管</x:v>
      </x:c>
      <x:c r="J7" s="18" t="str"/>
      <x:c r="K7" s="20" t="str">
        <x:v>進行中</x:v>
      </x:c>
      <x:c r="L7" s="18" t="str">
        <x:v>服務台</x:v>
      </x:c>
    </x:row>
    <x:row r="8">
      <x:c r="A8" s="18" t="str">
        <x:v>展示區</x:v>
      </x:c>
      <x:c r="B8" s="18" t="n">
        <x:v>2</x:v>
      </x:c>
      <x:c r="C8" s="18" t="str">
        <x:v>主題展示區</x:v>
      </x:c>
      <x:c r="D8" s="18" t="str">
        <x:v>台南</x:v>
      </x:c>
      <x:c r="E8" s="18" t="str">
        <x:v>多元培力主題展示</x:v>
      </x:c>
      <x:c r="F8" s="18" t="str">
        <x:v>需確認</x:v>
      </x:c>
      <x:c r="G8" s="18" t="str">
        <x:v>展示桌、立牌</x:v>
      </x:c>
      <x:c r="H8" s="18" t="str">
        <x:v>展示說明</x:v>
      </x:c>
      <x:c r="I8" s="18" t="str">
        <x:v>與主視覺同步</x:v>
      </x:c>
      <x:c r="J8" s="18" t="str"/>
      <x:c r="K8" s="21" t="str">
        <x:v>待確認</x:v>
      </x:c>
      <x:c r="L8" s="18" t="str">
        <x:v>設計組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4" hidden="0" customWidth="1"/>
    <x:col min="4" max="4" width="20" hidden="0" customWidth="1"/>
    <x:col min="5" max="5" width="40" hidden="0" customWidth="1"/>
    <x:col min="6" max="6" width="14" hidden="0" customWidth="1"/>
    <x:col min="7" max="7" width="32" hidden="0" customWidth="1"/>
  </x:cols>
  <x:sheetData>
    <x:row r="1">
      <x:c r="A1" s="14" t="str">
        <x:v>場地配置控管｜藍晒圖園區圖、歷年圖資轉為定稿流程</x:v>
      </x:c>
      <x:c r="B1" s="14" t="str"/>
      <x:c r="C1" s="14" t="str"/>
      <x:c r="D1" s="14" t="str"/>
      <x:c r="E1" s="14" t="str"/>
      <x:c r="F1" s="14" t="str"/>
      <x:c r="G1" s="14" t="str"/>
    </x:row>
    <x:row r="2">
      <x:c r="A2" s="15" t="str">
        <x:v>用途：管理場地配置圖版本、必備標示與現場動線。圖檔本身請連回Drive資料夾。</x:v>
      </x:c>
      <x:c r="B2" s="15" t="str"/>
      <x:c r="C2" s="15" t="str"/>
      <x:c r="D2" s="15" t="str"/>
      <x:c r="E2" s="15" t="str"/>
      <x:c r="F2" s="15" t="str"/>
      <x:c r="G2" s="15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</x:row>
    <x:row r="4">
      <x:c r="A4" s="17" t="str">
        <x:v>配置項目</x:v>
      </x:c>
      <x:c r="B4" s="17" t="str">
        <x:v>目前資料/設定</x:v>
      </x:c>
      <x:c r="C4" s="17" t="str">
        <x:v>狀態</x:v>
      </x:c>
      <x:c r="D4" s="17" t="str">
        <x:v>主責</x:v>
      </x:c>
      <x:c r="E4" s="17" t="str">
        <x:v>需確認事項</x:v>
      </x:c>
      <x:c r="F4" s="17" t="str">
        <x:v>期限</x:v>
      </x:c>
      <x:c r="G4" s="17" t="str">
        <x:v>Drive資料依據</x:v>
      </x:c>
    </x:row>
    <x:row r="5">
      <x:c r="A5" s="18" t="str">
        <x:v>園區底圖</x:v>
      </x:c>
      <x:c r="B5" s="18" t="str">
        <x:v>已具備藍晒圖園區圖、藍晒圖園區圖配置</x:v>
      </x:c>
      <x:c r="C5" s="19" t="str">
        <x:v>已完成</x:v>
      </x:c>
      <x:c r="D5" s="18" t="str">
        <x:v>活動組</x:v>
      </x:c>
      <x:c r="E5" s="18" t="str">
        <x:v>選定作為2026底圖的版本</x:v>
      </x:c>
      <x:c r="F5" s="18" t="str">
        <x:v>2026-07-10</x:v>
      </x:c>
      <x:c r="G5" s="18" t="str">
        <x:v>平面圖資料夾</x:v>
      </x:c>
    </x:row>
    <x:row r="6">
      <x:c r="A6" s="18" t="str">
        <x:v>歷年配置參考</x:v>
      </x:c>
      <x:c r="B6" s="18" t="str">
        <x:v>112、113年配置圖與活動照片</x:v>
      </x:c>
      <x:c r="C6" s="19" t="str">
        <x:v>已完成</x:v>
      </x:c>
      <x:c r="D6" s="18" t="str">
        <x:v>活動組</x:v>
      </x:c>
      <x:c r="E6" s="18" t="str">
        <x:v>比較過往人流與攤位密度</x:v>
      </x:c>
      <x:c r="F6" s="18" t="str">
        <x:v>2026-07-15</x:v>
      </x:c>
      <x:c r="G6" s="18" t="str">
        <x:v>112、113年藍晒圖配置及活動照片</x:v>
      </x:c>
    </x:row>
    <x:row r="7">
      <x:c r="A7" s="18" t="str">
        <x:v>攤位區</x:v>
      </x:c>
      <x:c r="B7" s="18" t="str">
        <x:v>34攤：多元培力22＋微創鳳凰12</x:v>
      </x:c>
      <x:c r="C7" s="20" t="str">
        <x:v>進行中</x:v>
      </x:c>
      <x:c r="D7" s="18" t="str">
        <x:v>活動組/招商組</x:v>
      </x:c>
      <x:c r="E7" s="18" t="str">
        <x:v>依商品類型、人流、用電分區</x:v>
      </x:c>
      <x:c r="F7" s="18" t="str">
        <x:v>2026-07-31</x:v>
      </x:c>
      <x:c r="G7" s="18" t="str">
        <x:v>一籌簡報</x:v>
      </x:c>
    </x:row>
    <x:row r="8">
      <x:c r="A8" s="18" t="str">
        <x:v>主題攤位</x:v>
      </x:c>
      <x:c r="B8" s="18" t="str">
        <x:v>4攤：服務台2、展示區2</x:v>
      </x:c>
      <x:c r="C8" s="20" t="str">
        <x:v>進行中</x:v>
      </x:c>
      <x:c r="D8" s="18" t="str">
        <x:v>活動組</x:v>
      </x:c>
      <x:c r="E8" s="18" t="str">
        <x:v>服務台與展示區位置是否靠近入口/主動線</x:v>
      </x:c>
      <x:c r="F8" s="18" t="str">
        <x:v>2026-07-31</x:v>
      </x:c>
      <x:c r="G8" s="18" t="str">
        <x:v>一籌簡報</x:v>
      </x:c>
    </x:row>
    <x:row r="9">
      <x:c r="A9" s="18" t="str">
        <x:v>舞台區</x:v>
      </x:c>
      <x:c r="B9" s="18" t="str">
        <x:v>活動流程含開場、致詞、啟動儀式、表演、摸彩</x:v>
      </x:c>
      <x:c r="C9" s="21" t="str">
        <x:v>待確認</x:v>
      </x:c>
      <x:c r="D9" s="18" t="str">
        <x:v>舞台組</x:v>
      </x:c>
      <x:c r="E9" s="18" t="str">
        <x:v>舞台尺寸、音響燈光、觀眾區、安全距離</x:v>
      </x:c>
      <x:c r="F9" s="18" t="str">
        <x:v>2026-08-15</x:v>
      </x:c>
      <x:c r="G9" s="18" t="str">
        <x:v>一籌簡報</x:v>
      </x:c>
    </x:row>
    <x:row r="10">
      <x:c r="A10" s="18" t="str">
        <x:v>貴賓/媒體動線</x:v>
      </x:c>
      <x:c r="B10" s="18" t="str">
        <x:v>致詞、聯訪、巡禮需連續安排</x:v>
      </x:c>
      <x:c r="C10" s="21" t="str">
        <x:v>待確認</x:v>
      </x:c>
      <x:c r="D10" s="18" t="str">
        <x:v>貴賓組/公關媒體組</x:v>
      </x:c>
      <x:c r="E10" s="18" t="str">
        <x:v>貴賓休息、聯訪位置、巡禮路線</x:v>
      </x:c>
      <x:c r="F10" s="18" t="str">
        <x:v>2026-08-31</x:v>
      </x:c>
      <x:c r="G10" s="18" t="str">
        <x:v>活動流程</x:v>
      </x:c>
    </x:row>
    <x:row r="11">
      <x:c r="A11" s="18" t="str">
        <x:v>電力配置</x:v>
      </x:c>
      <x:c r="B11" s="18" t="str">
        <x:v>每攤預設110V x 3插</x:v>
      </x:c>
      <x:c r="C11" s="21" t="str">
        <x:v>待確認</x:v>
      </x:c>
      <x:c r="D11" s="18" t="str">
        <x:v>活動組</x:v>
      </x:c>
      <x:c r="E11" s="18" t="str">
        <x:v>總電力、延長線、跳電風險、禁止高功率設備規範</x:v>
      </x:c>
      <x:c r="F11" s="18" t="str">
        <x:v>2026-08-31</x:v>
      </x:c>
      <x:c r="G11" s="18" t="str">
        <x:v>攤位概覽</x:v>
      </x:c>
    </x:row>
    <x:row r="12">
      <x:c r="A12" s="18" t="str">
        <x:v>緊急動線</x:v>
      </x:c>
      <x:c r="B12" s="18" t="str">
        <x:v>需標示緊急出口與救護點</x:v>
      </x:c>
      <x:c r="C12" s="21" t="str">
        <x:v>待確認</x:v>
      </x:c>
      <x:c r="D12" s="18" t="str">
        <x:v>行政組/活動組</x:v>
      </x:c>
      <x:c r="E12" s="18" t="str">
        <x:v>消防、救護、通報、集合點</x:v>
      </x:c>
      <x:c r="F12" s="18" t="str">
        <x:v>2026-09-10</x:v>
      </x:c>
      <x:c r="G12" s="18" t="str">
        <x:v>安全與許可</x:v>
      </x:c>
    </x:row>
    <x:row r="13">
      <x:c r="A13" s="18" t="str">
        <x:v>撤場路線</x:v>
      </x:c>
      <x:c r="B13" s="18" t="str">
        <x:v>19:00-20:00撤場復原</x:v>
      </x:c>
      <x:c r="C13" s="21" t="str">
        <x:v>待確認</x:v>
      </x:c>
      <x:c r="D13" s="18" t="str">
        <x:v>活動組</x:v>
      </x:c>
      <x:c r="E13" s="18" t="str">
        <x:v>車輛進出、垃圾清運、物料回收、押金退回條件</x:v>
      </x:c>
      <x:c r="F13" s="18" t="str">
        <x:v>2026-09-20</x:v>
      </x:c>
      <x:c r="G13" s="18" t="str">
        <x:v>場租說明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8" hidden="0" customWidth="1"/>
    <x:col min="5" max="5" width="18" hidden="0" customWidth="1"/>
    <x:col min="6" max="6" width="20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14" t="str">
        <x:v>活動當日Run Sheet｜10/2場佈與10/3執行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</x:row>
    <x:row r="2">
      <x:c r="A2" s="15" t="str">
        <x:v>用途：活動前一週定稿，活動當天所有組長以此頁控場。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</x:row>
    <x:row r="4">
      <x:c r="A4" s="17" t="str">
        <x:v>日期</x:v>
      </x:c>
      <x:c r="B4" s="17" t="str">
        <x:v>時間</x:v>
      </x:c>
      <x:c r="C4" s="17" t="str">
        <x:v>事項</x:v>
      </x:c>
      <x:c r="D4" s="17" t="str">
        <x:v>地點</x:v>
      </x:c>
      <x:c r="E4" s="17" t="str">
        <x:v>主責</x:v>
      </x:c>
      <x:c r="F4" s="17" t="str">
        <x:v>支援</x:v>
      </x:c>
      <x:c r="G4" s="17" t="str">
        <x:v>確認物/文件</x:v>
      </x:c>
      <x:c r="H4" s="17" t="str">
        <x:v>狀態</x:v>
      </x:c>
      <x:c r="I4" s="17" t="str">
        <x:v>備註</x:v>
      </x:c>
    </x:row>
    <x:row r="5">
      <x:c r="A5" s="18" t="str">
        <x:v>2026-10-02</x:v>
      </x:c>
      <x:c r="B5" s="18" t="str">
        <x:v>待定</x:v>
      </x:c>
      <x:c r="C5" s="18" t="str">
        <x:v>前置場佈、舞台/音響/燈光測試</x:v>
      </x:c>
      <x:c r="D5" s="18" t="str">
        <x:v>藍晒圖文創園區</x:v>
      </x:c>
      <x:c r="E5" s="18" t="str">
        <x:v>活動組</x:v>
      </x:c>
      <x:c r="F5" s="18" t="str">
        <x:v>全體</x:v>
      </x:c>
      <x:c r="G5" s="18" t="str">
        <x:v>場佈清單、測試紀錄</x:v>
      </x:c>
      <x:c r="H5" s="22" t="str">
        <x:v>未開始</x:v>
      </x:c>
      <x:c r="I5" s="18" t="str">
        <x:v>已增租10/2場地</x:v>
      </x:c>
    </x:row>
    <x:row r="6">
      <x:c r="A6" s="18" t="str">
        <x:v>2026-10-03</x:v>
      </x:c>
      <x:c r="B6" s="18" t="str">
        <x:v>09:00-10:00</x:v>
      </x:c>
      <x:c r="C6" s="18" t="str">
        <x:v>佈置會場設備</x:v>
      </x:c>
      <x:c r="D6" s="18" t="str">
        <x:v>全場</x:v>
      </x:c>
      <x:c r="E6" s="18" t="str">
        <x:v>活動組</x:v>
      </x:c>
      <x:c r="F6" s="18" t="str">
        <x:v>舞台組</x:v>
      </x:c>
      <x:c r="G6" s="18" t="str">
        <x:v>物料點收表</x:v>
      </x:c>
      <x:c r="H6" s="22" t="str">
        <x:v>未開始</x:v>
      </x:c>
      <x:c r="I6" s="18" t="str"/>
    </x:row>
    <x:row r="7">
      <x:c r="A7" s="18" t="str">
        <x:v>2026-10-03</x:v>
      </x:c>
      <x:c r="B7" s="18" t="str">
        <x:v>10:00-13:30</x:v>
      </x:c>
      <x:c r="C7" s="18" t="str">
        <x:v>單位進場布置</x:v>
      </x:c>
      <x:c r="D7" s="18" t="str">
        <x:v>攤位區</x:v>
      </x:c>
      <x:c r="E7" s="18" t="str">
        <x:v>招商組</x:v>
      </x:c>
      <x:c r="F7" s="18" t="str">
        <x:v>活動組/服務台</x:v>
      </x:c>
      <x:c r="G7" s="18" t="str">
        <x:v>攤商報到表、攤位圖</x:v>
      </x:c>
      <x:c r="H7" s="22" t="str">
        <x:v>未開始</x:v>
      </x:c>
      <x:c r="I7" s="18" t="str"/>
    </x:row>
    <x:row r="8">
      <x:c r="A8" s="18" t="str">
        <x:v>2026-10-03</x:v>
      </x:c>
      <x:c r="B8" s="18" t="str">
        <x:v>12:00-13:30</x:v>
      </x:c>
      <x:c r="C8" s="18" t="str">
        <x:v>舞台彩排</x:v>
      </x:c>
      <x:c r="D8" s="18" t="str">
        <x:v>舞台區</x:v>
      </x:c>
      <x:c r="E8" s="18" t="str">
        <x:v>舞台組</x:v>
      </x:c>
      <x:c r="F8" s="18" t="str">
        <x:v>主持人/表演團體</x:v>
      </x:c>
      <x:c r="G8" s="18" t="str">
        <x:v>主持稿、音控表</x:v>
      </x:c>
      <x:c r="H8" s="22" t="str">
        <x:v>未開始</x:v>
      </x:c>
      <x:c r="I8" s="18" t="str"/>
    </x:row>
    <x:row r="9">
      <x:c r="A9" s="18" t="str">
        <x:v>2026-10-03</x:v>
      </x:c>
      <x:c r="B9" s="18" t="str">
        <x:v>14:00</x:v>
      </x:c>
      <x:c r="C9" s="18" t="str">
        <x:v>市集開始</x:v>
      </x:c>
      <x:c r="D9" s="18" t="str">
        <x:v>全場</x:v>
      </x:c>
      <x:c r="E9" s="18" t="str">
        <x:v>總協調</x:v>
      </x:c>
      <x:c r="F9" s="18" t="str">
        <x:v>各組</x:v>
      </x:c>
      <x:c r="G9" s="18" t="str">
        <x:v>現場開場確認</x:v>
      </x:c>
      <x:c r="H9" s="22" t="str">
        <x:v>未開始</x:v>
      </x:c>
      <x:c r="I9" s="18" t="str"/>
    </x:row>
    <x:row r="10">
      <x:c r="A10" s="18" t="str">
        <x:v>2026-10-03</x:v>
      </x:c>
      <x:c r="B10" s="18" t="str">
        <x:v>14:00-14:15</x:v>
      </x:c>
      <x:c r="C10" s="18" t="str">
        <x:v>主持人開場/開場表演</x:v>
      </x:c>
      <x:c r="D10" s="18" t="str">
        <x:v>舞台區</x:v>
      </x:c>
      <x:c r="E10" s="18" t="str">
        <x:v>舞台組</x:v>
      </x:c>
      <x:c r="F10" s="18" t="str">
        <x:v>公關媒體組</x:v>
      </x:c>
      <x:c r="G10" s="18" t="str">
        <x:v>主持稿</x:v>
      </x:c>
      <x:c r="H10" s="22" t="str">
        <x:v>未開始</x:v>
      </x:c>
      <x:c r="I10" s="18" t="str"/>
    </x:row>
    <x:row r="11">
      <x:c r="A11" s="18" t="str">
        <x:v>2026-10-03</x:v>
      </x:c>
      <x:c r="B11" s="18" t="str">
        <x:v>14:15-14:20</x:v>
      </x:c>
      <x:c r="C11" s="18" t="str">
        <x:v>貴賓致詞</x:v>
      </x:c>
      <x:c r="D11" s="18" t="str">
        <x:v>舞台區</x:v>
      </x:c>
      <x:c r="E11" s="18" t="str">
        <x:v>貴賓組</x:v>
      </x:c>
      <x:c r="F11" s="18" t="str">
        <x:v>舞台組</x:v>
      </x:c>
      <x:c r="G11" s="18" t="str">
        <x:v>致詞名單</x:v>
      </x:c>
      <x:c r="H11" s="22" t="str">
        <x:v>未開始</x:v>
      </x:c>
      <x:c r="I11" s="18" t="str"/>
    </x:row>
    <x:row r="12">
      <x:c r="A12" s="18" t="str">
        <x:v>2026-10-03</x:v>
      </x:c>
      <x:c r="B12" s="18" t="str">
        <x:v>14:20-14:25</x:v>
      </x:c>
      <x:c r="C12" s="18" t="str">
        <x:v>開幕儀式+大合照</x:v>
      </x:c>
      <x:c r="D12" s="18" t="str">
        <x:v>舞台區</x:v>
      </x:c>
      <x:c r="E12" s="18" t="str">
        <x:v>舞台組</x:v>
      </x:c>
      <x:c r="F12" s="18" t="str">
        <x:v>公關媒體組</x:v>
      </x:c>
      <x:c r="G12" s="18" t="str">
        <x:v>啟動道具、拍照名單</x:v>
      </x:c>
      <x:c r="H12" s="22" t="str">
        <x:v>未開始</x:v>
      </x:c>
      <x:c r="I12" s="18" t="str"/>
    </x:row>
    <x:row r="13">
      <x:c r="A13" s="18" t="str">
        <x:v>2026-10-03</x:v>
      </x:c>
      <x:c r="B13" s="18" t="str">
        <x:v>14:25-14:30</x:v>
      </x:c>
      <x:c r="C13" s="18" t="str">
        <x:v>媒體聯訪</x:v>
      </x:c>
      <x:c r="D13" s="18" t="str">
        <x:v>媒體區</x:v>
      </x:c>
      <x:c r="E13" s="18" t="str">
        <x:v>公關媒體組</x:v>
      </x:c>
      <x:c r="F13" s="18" t="str">
        <x:v>貴賓組</x:v>
      </x:c>
      <x:c r="G13" s="18" t="str">
        <x:v>媒體包、聯訪點</x:v>
      </x:c>
      <x:c r="H13" s="22" t="str">
        <x:v>未開始</x:v>
      </x:c>
      <x:c r="I13" s="18" t="str"/>
    </x:row>
    <x:row r="14">
      <x:c r="A14" s="18" t="str">
        <x:v>2026-10-03</x:v>
      </x:c>
      <x:c r="B14" s="18" t="str">
        <x:v>14:30-15:00</x:v>
      </x:c>
      <x:c r="C14" s="18" t="str">
        <x:v>貴賓巡禮</x:v>
      </x:c>
      <x:c r="D14" s="18" t="str">
        <x:v>攤位區</x:v>
      </x:c>
      <x:c r="E14" s="18" t="str">
        <x:v>貴賓組</x:v>
      </x:c>
      <x:c r="F14" s="18" t="str">
        <x:v>招商組</x:v>
      </x:c>
      <x:c r="G14" s="18" t="str">
        <x:v>巡禮路線、介紹稿</x:v>
      </x:c>
      <x:c r="H14" s="22" t="str">
        <x:v>未開始</x:v>
      </x:c>
      <x:c r="I14" s="18" t="str"/>
    </x:row>
    <x:row r="15">
      <x:c r="A15" s="18" t="str">
        <x:v>2026-10-03</x:v>
      </x:c>
      <x:c r="B15" s="18" t="str">
        <x:v>15:00-15:30</x:v>
      </x:c>
      <x:c r="C15" s="18" t="str">
        <x:v>PART1活動攤位介紹廣播 #1</x:v>
      </x:c>
      <x:c r="D15" s="18" t="str">
        <x:v>全場</x:v>
      </x:c>
      <x:c r="E15" s="18" t="str">
        <x:v>舞台組</x:v>
      </x:c>
      <x:c r="F15" s="18" t="str">
        <x:v>招商組</x:v>
      </x:c>
      <x:c r="G15" s="18" t="str">
        <x:v>攤位介紹稿</x:v>
      </x:c>
      <x:c r="H15" s="22" t="str">
        <x:v>未開始</x:v>
      </x:c>
      <x:c r="I15" s="18" t="str"/>
    </x:row>
    <x:row r="16">
      <x:c r="A16" s="18" t="str">
        <x:v>2026-10-03</x:v>
      </x:c>
      <x:c r="B16" s="18" t="str">
        <x:v>15:30-16:00</x:v>
      </x:c>
      <x:c r="C16" s="18" t="str">
        <x:v>活動表演#1（暫定樂團表演）</x:v>
      </x:c>
      <x:c r="D16" s="18" t="str">
        <x:v>舞台區</x:v>
      </x:c>
      <x:c r="E16" s="18" t="str">
        <x:v>舞台組</x:v>
      </x:c>
      <x:c r="F16" s="18" t="str">
        <x:v>表演團體</x:v>
      </x:c>
      <x:c r="G16" s="18" t="str">
        <x:v>表演合約/曲目</x:v>
      </x:c>
      <x:c r="H16" s="21" t="str">
        <x:v>待確認</x:v>
      </x:c>
      <x:c r="I16" s="18" t="str">
        <x:v>表演團體待確認</x:v>
      </x:c>
    </x:row>
    <x:row r="17">
      <x:c r="A17" s="18" t="str">
        <x:v>2026-10-03</x:v>
      </x:c>
      <x:c r="B17" s="18" t="str">
        <x:v>16:00-16:15</x:v>
      </x:c>
      <x:c r="C17" s="18" t="str">
        <x:v>多元即享贈</x:v>
      </x:c>
      <x:c r="D17" s="18" t="str">
        <x:v>服務台/指定區</x:v>
      </x:c>
      <x:c r="E17" s="18" t="str">
        <x:v>服務台</x:v>
      </x:c>
      <x:c r="F17" s="18" t="str">
        <x:v>行銷組</x:v>
      </x:c>
      <x:c r="G17" s="18" t="str">
        <x:v>發放規則、物資</x:v>
      </x:c>
      <x:c r="H17" s="21" t="str">
        <x:v>待確認</x:v>
      </x:c>
      <x:c r="I17" s="18" t="str"/>
    </x:row>
    <x:row r="18">
      <x:c r="A18" s="18" t="str">
        <x:v>2026-10-03</x:v>
      </x:c>
      <x:c r="B18" s="18" t="str">
        <x:v>16:15-16:30</x:v>
      </x:c>
      <x:c r="C18" s="18" t="str">
        <x:v>PART2活動攤位介紹廣播 #2</x:v>
      </x:c>
      <x:c r="D18" s="18" t="str">
        <x:v>全場</x:v>
      </x:c>
      <x:c r="E18" s="18" t="str">
        <x:v>舞台組</x:v>
      </x:c>
      <x:c r="F18" s="18" t="str">
        <x:v>招商組</x:v>
      </x:c>
      <x:c r="G18" s="18" t="str">
        <x:v>攤位介紹稿</x:v>
      </x:c>
      <x:c r="H18" s="22" t="str">
        <x:v>未開始</x:v>
      </x:c>
      <x:c r="I18" s="18" t="str"/>
    </x:row>
    <x:row r="19">
      <x:c r="A19" s="18" t="str">
        <x:v>2026-10-03</x:v>
      </x:c>
      <x:c r="B19" s="18" t="str">
        <x:v>16:30-17:30</x:v>
      </x:c>
      <x:c r="C19" s="18" t="str">
        <x:v>活動表演#2（暫定小丑氣球表演）</x:v>
      </x:c>
      <x:c r="D19" s="18" t="str">
        <x:v>舞台區</x:v>
      </x:c>
      <x:c r="E19" s="18" t="str">
        <x:v>舞台組</x:v>
      </x:c>
      <x:c r="F19" s="18" t="str">
        <x:v>表演團體</x:v>
      </x:c>
      <x:c r="G19" s="18" t="str">
        <x:v>表演合約/需求</x:v>
      </x:c>
      <x:c r="H19" s="21" t="str">
        <x:v>待確認</x:v>
      </x:c>
      <x:c r="I19" s="18" t="str">
        <x:v>表演團體待確認</x:v>
      </x:c>
    </x:row>
    <x:row r="20">
      <x:c r="A20" s="18" t="str">
        <x:v>2026-10-03</x:v>
      </x:c>
      <x:c r="B20" s="18" t="str">
        <x:v>17:30-17:45</x:v>
      </x:c>
      <x:c r="C20" s="18" t="str">
        <x:v>多元即享贈</x:v>
      </x:c>
      <x:c r="D20" s="18" t="str">
        <x:v>服務台/指定區</x:v>
      </x:c>
      <x:c r="E20" s="18" t="str">
        <x:v>服務台</x:v>
      </x:c>
      <x:c r="F20" s="18" t="str">
        <x:v>行銷組</x:v>
      </x:c>
      <x:c r="G20" s="18" t="str">
        <x:v>發放規則、物資</x:v>
      </x:c>
      <x:c r="H20" s="21" t="str">
        <x:v>待確認</x:v>
      </x:c>
      <x:c r="I20" s="18" t="str"/>
    </x:row>
    <x:row r="21">
      <x:c r="A21" s="18" t="str">
        <x:v>2026-10-03</x:v>
      </x:c>
      <x:c r="B21" s="18" t="str">
        <x:v>17:45-18:00</x:v>
      </x:c>
      <x:c r="C21" s="18" t="str">
        <x:v>PART3活動攤位介紹廣播 #3</x:v>
      </x:c>
      <x:c r="D21" s="18" t="str">
        <x:v>全場</x:v>
      </x:c>
      <x:c r="E21" s="18" t="str">
        <x:v>舞台組</x:v>
      </x:c>
      <x:c r="F21" s="18" t="str">
        <x:v>招商組</x:v>
      </x:c>
      <x:c r="G21" s="18" t="str">
        <x:v>攤位介紹稿</x:v>
      </x:c>
      <x:c r="H21" s="22" t="str">
        <x:v>未開始</x:v>
      </x:c>
      <x:c r="I21" s="18" t="str"/>
    </x:row>
    <x:row r="22">
      <x:c r="A22" s="18" t="str">
        <x:v>2026-10-03</x:v>
      </x:c>
      <x:c r="B22" s="18" t="str">
        <x:v>18:00-18:15</x:v>
      </x:c>
      <x:c r="C22" s="18" t="str">
        <x:v>多元即享贈</x:v>
      </x:c>
      <x:c r="D22" s="18" t="str">
        <x:v>服務台/指定區</x:v>
      </x:c>
      <x:c r="E22" s="18" t="str">
        <x:v>服務台</x:v>
      </x:c>
      <x:c r="F22" s="18" t="str">
        <x:v>行銷組</x:v>
      </x:c>
      <x:c r="G22" s="18" t="str">
        <x:v>發放規則、物資</x:v>
      </x:c>
      <x:c r="H22" s="21" t="str">
        <x:v>待確認</x:v>
      </x:c>
      <x:c r="I22" s="18" t="str"/>
    </x:row>
    <x:row r="23">
      <x:c r="A23" s="18" t="str">
        <x:v>2026-10-03</x:v>
      </x:c>
      <x:c r="B23" s="18" t="str">
        <x:v>18:15-19:00</x:v>
      </x:c>
      <x:c r="C23" s="18" t="str">
        <x:v>最終大摸彩：抽靚品</x:v>
      </x:c>
      <x:c r="D23" s="18" t="str">
        <x:v>舞台區</x:v>
      </x:c>
      <x:c r="E23" s="18" t="str">
        <x:v>服務台/舞台組</x:v>
      </x:c>
      <x:c r="F23" s="18" t="str">
        <x:v>行政財務</x:v>
      </x:c>
      <x:c r="G23" s="18" t="str">
        <x:v>抽獎箱、獎品清單</x:v>
      </x:c>
      <x:c r="H23" s="21" t="str">
        <x:v>待確認</x:v>
      </x:c>
      <x:c r="I23" s="18" t="str">
        <x:v>獎品保管與領獎簽收需確認</x:v>
      </x:c>
    </x:row>
    <x:row r="24">
      <x:c r="A24" s="18" t="str">
        <x:v>2026-10-03</x:v>
      </x:c>
      <x:c r="B24" s="18" t="str">
        <x:v>19:00-20:00</x:v>
      </x:c>
      <x:c r="C24" s="18" t="str">
        <x:v>單位撤場與場地復原</x:v>
      </x:c>
      <x:c r="D24" s="18" t="str">
        <x:v>全場</x:v>
      </x:c>
      <x:c r="E24" s="18" t="str">
        <x:v>活動組</x:v>
      </x:c>
      <x:c r="F24" s="18" t="str">
        <x:v>招商組/行政財務</x:v>
      </x:c>
      <x:c r="G24" s="18" t="str">
        <x:v>撤場清點表、押金退回確認</x:v>
      </x:c>
      <x:c r="H24" s="22" t="str">
        <x:v>未開始</x:v>
      </x:c>
      <x:c r="I24" s="18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18" hidden="0" customWidth="1"/>
    <x:col min="5" max="5" width="34" hidden="0" customWidth="1"/>
    <x:col min="6" max="6" width="14" hidden="0" customWidth="1"/>
    <x:col min="7" max="7" width="28" hidden="0" customWidth="1"/>
    <x:col min="8" max="8" width="32" hidden="0" customWidth="1"/>
  </x:cols>
  <x:sheetData>
    <x:row r="1">
      <x:c r="A1" s="14" t="str">
        <x:v>宣傳排程｜線上線下曝光控管</x:v>
      </x:c>
      <x:c r="B1" s="14" t="str"/>
      <x:c r="C1" s="14" t="str"/>
      <x:c r="D1" s="14" t="str"/>
      <x:c r="E1" s="14" t="str"/>
      <x:c r="F1" s="14" t="str"/>
      <x:c r="G1" s="14" t="str"/>
      <x:c r="H1" s="14" t="str"/>
    </x:row>
    <x:row r="2">
      <x:c r="A2" s="15" t="str">
        <x:v>用途：控管素材、投放期間、負責人、證明文件與未決事項。</x:v>
      </x:c>
      <x:c r="B2" s="15" t="str"/>
      <x:c r="C2" s="15" t="str"/>
      <x:c r="D2" s="15" t="str"/>
      <x:c r="E2" s="15" t="str"/>
      <x:c r="F2" s="15" t="str"/>
      <x:c r="G2" s="15" t="str"/>
      <x:c r="H2" s="15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</x:row>
    <x:row r="4">
      <x:c r="A4" s="17" t="str">
        <x:v>類型</x:v>
      </x:c>
      <x:c r="B4" s="17" t="str">
        <x:v>通路/事項</x:v>
      </x:c>
      <x:c r="C4" s="17" t="str">
        <x:v>期間/日期</x:v>
      </x:c>
      <x:c r="D4" s="17" t="str">
        <x:v>主責</x:v>
      </x:c>
      <x:c r="E4" s="17" t="str">
        <x:v>素材需求</x:v>
      </x:c>
      <x:c r="F4" s="17" t="str">
        <x:v>狀態</x:v>
      </x:c>
      <x:c r="G4" s="17" t="str">
        <x:v>證明文件</x:v>
      </x:c>
      <x:c r="H4" s="17" t="str">
        <x:v>備註</x:v>
      </x:c>
    </x:row>
    <x:row r="5">
      <x:c r="A5" s="18" t="str">
        <x:v>線上</x:v>
      </x:c>
      <x:c r="B5" s="18" t="str">
        <x:v>粉專宣傳啟動</x:v>
      </x:c>
      <x:c r="C5" s="18" t="str">
        <x:v>2026-09-01</x:v>
      </x:c>
      <x:c r="D5" s="18" t="str">
        <x:v>行銷組</x:v>
      </x:c>
      <x:c r="E5" s="18" t="str">
        <x:v>主視覺、活動資訊、亮點文案</x:v>
      </x:c>
      <x:c r="F5" s="22" t="str">
        <x:v>未開始</x:v>
      </x:c>
      <x:c r="G5" s="18" t="str">
        <x:v>貼文連結</x:v>
      </x:c>
      <x:c r="H5" s="18" t="str">
        <x:v>一籌簡報</x:v>
      </x:c>
    </x:row>
    <x:row r="6">
      <x:c r="A6" s="18" t="str">
        <x:v>線上</x:v>
      </x:c>
      <x:c r="B6" s="18" t="str">
        <x:v>粉專抽獎</x:v>
      </x:c>
      <x:c r="C6" s="18" t="str">
        <x:v>2026-09-15</x:v>
      </x:c>
      <x:c r="D6" s="18" t="str">
        <x:v>行銷組</x:v>
      </x:c>
      <x:c r="E6" s="18" t="str">
        <x:v>抽獎圖、活動辦法、獎項</x:v>
      </x:c>
      <x:c r="F6" s="22" t="str">
        <x:v>未開始</x:v>
      </x:c>
      <x:c r="G6" s="18" t="str">
        <x:v>貼文連結、得獎名單</x:v>
      </x:c>
      <x:c r="H6" s="18" t="str"/>
    </x:row>
    <x:row r="7">
      <x:c r="A7" s="18" t="str">
        <x:v>線上</x:v>
      </x:c>
      <x:c r="B7" s="18" t="str">
        <x:v>廣告投放</x:v>
      </x:c>
      <x:c r="C7" s="18" t="str">
        <x:v>2026-09-21</x:v>
      </x:c>
      <x:c r="D7" s="18" t="str">
        <x:v>行銷組</x:v>
      </x:c>
      <x:c r="E7" s="18" t="str">
        <x:v>社群圖/短影音、受眾設定</x:v>
      </x:c>
      <x:c r="F7" s="22" t="str">
        <x:v>未開始</x:v>
      </x:c>
      <x:c r="G7" s="18" t="str">
        <x:v>廣告後台截圖</x:v>
      </x:c>
      <x:c r="H7" s="18" t="str"/>
    </x:row>
    <x:row r="8">
      <x:c r="A8" s="18" t="str">
        <x:v>線下</x:v>
      </x:c>
      <x:c r="B8" s="18" t="str">
        <x:v>戶外電視牆廣告</x:v>
      </x:c>
      <x:c r="C8" s="18" t="str">
        <x:v>2026-09-05~2026-10-03</x:v>
      </x:c>
      <x:c r="D8" s="18" t="str">
        <x:v>行銷組</x:v>
      </x:c>
      <x:c r="E8" s="18" t="str">
        <x:v>電視牆尺寸、影片/圖片檔</x:v>
      </x:c>
      <x:c r="F8" s="21" t="str">
        <x:v>待確認</x:v>
      </x:c>
      <x:c r="G8" s="18" t="str">
        <x:v>排檔表、投放證明</x:v>
      </x:c>
      <x:c r="H8" s="18" t="str">
        <x:v>廣告宣傳資料夾已有牌價/位置圖</x:v>
      </x:c>
    </x:row>
    <x:row r="9">
      <x:c r="A9" s="18" t="str">
        <x:v>線下</x:v>
      </x:c>
      <x:c r="B9" s="18" t="str">
        <x:v>路邊廣告旗幟</x:v>
      </x:c>
      <x:c r="C9" s="18" t="str">
        <x:v>2026-09-20~2026-10-03</x:v>
      </x:c>
      <x:c r="D9" s="18" t="str">
        <x:v>行銷組</x:v>
      </x:c>
      <x:c r="E9" s="18" t="str">
        <x:v>旗幟設計完稿、懸掛路段</x:v>
      </x:c>
      <x:c r="F9" s="22" t="str">
        <x:v>未開始</x:v>
      </x:c>
      <x:c r="G9" s="18" t="str">
        <x:v>完工照片</x:v>
      </x:c>
      <x:c r="H9" s="18" t="str"/>
    </x:row>
    <x:row r="10">
      <x:c r="A10" s="18" t="str">
        <x:v>線下</x:v>
      </x:c>
      <x:c r="B10" s="18" t="str">
        <x:v>廣播廣告投放</x:v>
      </x:c>
      <x:c r="C10" s="18" t="str">
        <x:v>2026-09-23~2026-10-03</x:v>
      </x:c>
      <x:c r="D10" s="18" t="str">
        <x:v>行銷組</x:v>
      </x:c>
      <x:c r="E10" s="18" t="str">
        <x:v>20秒廣播稿、排檔表</x:v>
      </x:c>
      <x:c r="F10" s="21" t="str">
        <x:v>待確認</x:v>
      </x:c>
      <x:c r="G10" s="18" t="str">
        <x:v>排檔表、播出證明</x:v>
      </x:c>
      <x:c r="H10" s="18" t="str">
        <x:v>資料夾已有20秒排檔報價</x:v>
      </x:c>
    </x:row>
    <x:row r="11">
      <x:c r="A11" s="18" t="str">
        <x:v>公關</x:v>
      </x:c>
      <x:c r="B11" s="18" t="str">
        <x:v>事前新聞稿發佈</x:v>
      </x:c>
      <x:c r="C11" s="18" t="str">
        <x:v>2026-09-23</x:v>
      </x:c>
      <x:c r="D11" s="18" t="str">
        <x:v>公關媒體組</x:v>
      </x:c>
      <x:c r="E11" s="18" t="str">
        <x:v>新聞稿、活動亮點、採訪聯絡人</x:v>
      </x:c>
      <x:c r="F11" s="22" t="str">
        <x:v>未開始</x:v>
      </x:c>
      <x:c r="G11" s="18" t="str">
        <x:v>新聞稿檔案、媒體露出</x:v>
      </x:c>
      <x:c r="H11" s="18" t="str"/>
    </x:row>
    <x:row r="12">
      <x:c r="A12" s="18" t="str">
        <x:v>公關</x:v>
      </x:c>
      <x:c r="B12" s="18" t="str">
        <x:v>活動當日媒體接待</x:v>
      </x:c>
      <x:c r="C12" s="18" t="str">
        <x:v>2026-10-03</x:v>
      </x:c>
      <x:c r="D12" s="18" t="str">
        <x:v>公關媒體組</x:v>
      </x:c>
      <x:c r="E12" s="18" t="str">
        <x:v>媒體包、聯訪流程、拍照點</x:v>
      </x:c>
      <x:c r="F12" s="22" t="str">
        <x:v>未開始</x:v>
      </x:c>
      <x:c r="G12" s="18" t="str">
        <x:v>媒體名單、照片</x:v>
      </x:c>
      <x:c r="H12" s="18" t="str"/>
    </x:row>
    <x:row r="13">
      <x:c r="A13" s="18" t="str">
        <x:v>收尾</x:v>
      </x:c>
      <x:c r="B13" s="18" t="str">
        <x:v>活動精華發布</x:v>
      </x:c>
      <x:c r="C13" s="18" t="str">
        <x:v>2026-10-04~2026-10-10</x:v>
      </x:c>
      <x:c r="D13" s="18" t="str">
        <x:v>行銷組</x:v>
      </x:c>
      <x:c r="E13" s="18" t="str">
        <x:v>照片、短影音、成果數字</x:v>
      </x:c>
      <x:c r="F13" s="22" t="str">
        <x:v>未開始</x:v>
      </x:c>
      <x:c r="G13" s="18" t="str">
        <x:v>貼文連結</x:v>
      </x:c>
      <x:c r="H13" s="18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</x:cols>
  <x:sheetData>
    <x:row r="1">
      <x:c r="A1" s="14" t="str">
        <x:v>採購與獎品控管｜集點、扭蛋、長官禮、貴賓禮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</x:row>
    <x:row r="2">
      <x:c r="A2" s="15" t="str">
        <x:v>用途：承接現有獎品清單，後續補採購狀態、保管人、領獎簽收與核銷文件。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  <x:c r="J2" s="15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</x:row>
    <x:row r="4">
      <x:c r="A4" s="17" t="str">
        <x:v>活動/用途</x:v>
      </x:c>
      <x:c r="B4" s="17" t="str">
        <x:v>品項</x:v>
      </x:c>
      <x:c r="C4" s="17" t="str">
        <x:v>單價</x:v>
      </x:c>
      <x:c r="D4" s="17" t="str">
        <x:v>數量</x:v>
      </x:c>
      <x:c r="E4" s="17" t="str">
        <x:v>小計</x:v>
      </x:c>
      <x:c r="F4" s="17" t="str">
        <x:v>採購狀態</x:v>
      </x:c>
      <x:c r="G4" s="17" t="str">
        <x:v>保管人</x:v>
      </x:c>
      <x:c r="H4" s="17" t="str">
        <x:v>到貨日</x:v>
      </x:c>
      <x:c r="I4" s="17" t="str">
        <x:v>發放/簽收方式</x:v>
      </x:c>
      <x:c r="J4" s="17" t="str">
        <x:v>備註</x:v>
      </x:c>
    </x:row>
    <x:row r="5">
      <x:c r="A5" s="18" t="str">
        <x:v>集點抽靚品</x:v>
      </x:c>
      <x:c r="B5" s="18" t="str">
        <x:v>Panasonic小摩力沙發按摩椅 EP-MA05</x:v>
      </x:c>
      <x:c r="C5" s="18" t="n">
        <x:v>39800</x:v>
      </x:c>
      <x:c r="D5" s="18" t="n">
        <x:v>1</x:v>
      </x:c>
      <x:c r="E5" s="18" t="n">
        <x:v>39800</x:v>
      </x:c>
      <x:c r="F5" s="18" t="str">
        <x:v>待確認</x:v>
      </x:c>
      <x:c r="G5" s="18" t="str"/>
      <x:c r="H5" s="18" t="str"/>
      <x:c r="I5" s="18" t="str">
        <x:v>領獎簽收</x:v>
      </x:c>
      <x:c r="J5" s="18" t="str">
        <x:v>既有清單</x:v>
      </x:c>
    </x:row>
    <x:row r="6">
      <x:c r="A6" s="18" t="str">
        <x:v>集點抽靚品</x:v>
      </x:c>
      <x:c r="B6" s="18" t="str">
        <x:v>Nespresso Vertuo Next膠囊咖啡機禮盒</x:v>
      </x:c>
      <x:c r="C6" s="18" t="n">
        <x:v>8940</x:v>
      </x:c>
      <x:c r="D6" s="18" t="n">
        <x:v>1</x:v>
      </x:c>
      <x:c r="E6" s="18" t="n">
        <x:v>8940</x:v>
      </x:c>
      <x:c r="F6" s="18" t="str">
        <x:v>待確認</x:v>
      </x:c>
      <x:c r="G6" s="18" t="str"/>
      <x:c r="H6" s="18" t="str"/>
      <x:c r="I6" s="18" t="str">
        <x:v>領獎簽收</x:v>
      </x:c>
      <x:c r="J6" s="18" t="str">
        <x:v>既有清單</x:v>
      </x:c>
    </x:row>
    <x:row r="7">
      <x:c r="A7" s="18" t="str">
        <x:v>集點抽靚品</x:v>
      </x:c>
      <x:c r="B7" s="18" t="str">
        <x:v>Panasonic奈米水離子吹風機</x:v>
      </x:c>
      <x:c r="C7" s="18" t="n">
        <x:v>4750</x:v>
      </x:c>
      <x:c r="D7" s="18" t="n">
        <x:v>1</x:v>
      </x:c>
      <x:c r="E7" s="18" t="n">
        <x:v>4750</x:v>
      </x:c>
      <x:c r="F7" s="18" t="str">
        <x:v>待確認</x:v>
      </x:c>
      <x:c r="G7" s="18" t="str"/>
      <x:c r="H7" s="18" t="str"/>
      <x:c r="I7" s="18" t="str">
        <x:v>領獎簽收</x:v>
      </x:c>
      <x:c r="J7" s="18" t="str">
        <x:v>既有清單</x:v>
      </x:c>
    </x:row>
    <x:row r="8">
      <x:c r="A8" s="18" t="str">
        <x:v>集點抽靚品</x:v>
      </x:c>
      <x:c r="B8" s="18" t="str">
        <x:v>KUDI六合一智能廚餘機</x:v>
      </x:c>
      <x:c r="C8" s="18" t="n">
        <x:v>4000</x:v>
      </x:c>
      <x:c r="D8" s="18" t="n">
        <x:v>1</x:v>
      </x:c>
      <x:c r="E8" s="18" t="n">
        <x:v>4000</x:v>
      </x:c>
      <x:c r="F8" s="18" t="str">
        <x:v>待確認</x:v>
      </x:c>
      <x:c r="G8" s="18" t="str"/>
      <x:c r="H8" s="18" t="str"/>
      <x:c r="I8" s="18" t="str">
        <x:v>領獎簽收</x:v>
      </x:c>
      <x:c r="J8" s="18" t="str">
        <x:v>既有清單</x:v>
      </x:c>
    </x:row>
    <x:row r="9">
      <x:c r="A9" s="18" t="str">
        <x:v>集點抽靚品</x:v>
      </x:c>
      <x:c r="B9" s="18" t="str">
        <x:v>全聯禮券500元</x:v>
      </x:c>
      <x:c r="C9" s="18" t="n">
        <x:v>500</x:v>
      </x:c>
      <x:c r="D9" s="18" t="n">
        <x:v>6</x:v>
      </x:c>
      <x:c r="E9" s="18" t="n">
        <x:v>3000</x:v>
      </x:c>
      <x:c r="F9" s="18" t="str">
        <x:v>待確認</x:v>
      </x:c>
      <x:c r="G9" s="18" t="str"/>
      <x:c r="H9" s="18" t="str"/>
      <x:c r="I9" s="18" t="str">
        <x:v>領獎簽收</x:v>
      </x:c>
      <x:c r="J9" s="18" t="str">
        <x:v>既有清單</x:v>
      </x:c>
    </x:row>
    <x:row r="10">
      <x:c r="A10" s="18" t="str">
        <x:v>扭蛋</x:v>
      </x:c>
      <x:c r="B10" s="18" t="str">
        <x:v>青創特色便當</x:v>
      </x:c>
      <x:c r="C10" s="18" t="n">
        <x:v>200</x:v>
      </x:c>
      <x:c r="D10" s="18" t="n">
        <x:v>20</x:v>
      </x:c>
      <x:c r="E10" s="18" t="n">
        <x:v>4000</x:v>
      </x:c>
      <x:c r="F10" s="18" t="str">
        <x:v>待確認</x:v>
      </x:c>
      <x:c r="G10" s="18" t="str"/>
      <x:c r="H10" s="18" t="str"/>
      <x:c r="I10" s="18" t="str">
        <x:v>現場兌換</x:v>
      </x:c>
      <x:c r="J10" s="18" t="str">
        <x:v>既有清單</x:v>
      </x:c>
    </x:row>
    <x:row r="11">
      <x:c r="A11" s="18" t="str">
        <x:v>扭蛋</x:v>
      </x:c>
      <x:c r="B11" s="18" t="str">
        <x:v>100元同樂券</x:v>
      </x:c>
      <x:c r="C11" s="18" t="n">
        <x:v>100</x:v>
      </x:c>
      <x:c r="D11" s="18" t="n">
        <x:v>100</x:v>
      </x:c>
      <x:c r="E11" s="18" t="n">
        <x:v>10000</x:v>
      </x:c>
      <x:c r="F11" s="18" t="str">
        <x:v>待確認</x:v>
      </x:c>
      <x:c r="G11" s="18" t="str"/>
      <x:c r="H11" s="18" t="str"/>
      <x:c r="I11" s="18" t="str">
        <x:v>現場兌換</x:v>
      </x:c>
      <x:c r="J11" s="18" t="str">
        <x:v>既有清單</x:v>
      </x:c>
    </x:row>
    <x:row r="12">
      <x:c r="A12" s="18" t="str">
        <x:v>長官禮</x:v>
      </x:c>
      <x:c r="B12" s="18" t="str">
        <x:v>鮮脆筍茸海帶芽湯、原葉茶包、彩虹麵等組合</x:v>
      </x:c>
      <x:c r="C12" s="18" t="str"/>
      <x:c r="D12" s="18" t="n">
        <x:v>20</x:v>
      </x:c>
      <x:c r="E12" s="18" t="n">
        <x:v>17380</x:v>
      </x:c>
      <x:c r="F12" s="18" t="str">
        <x:v>待確認</x:v>
      </x:c>
      <x:c r="G12" s="18" t="str"/>
      <x:c r="H12" s="18" t="str"/>
      <x:c r="I12" s="18" t="str">
        <x:v>長官禮交付簽收</x:v>
      </x:c>
      <x:c r="J12" s="18" t="str">
        <x:v>既有清單彙總</x:v>
      </x:c>
    </x:row>
    <x:row r="13">
      <x:c r="A13" s="18" t="str">
        <x:v>貴賓禮</x:v>
      </x:c>
      <x:c r="B13" s="18" t="str">
        <x:v>鮮脆筍絲酸辣湯、原葉茶包等組合</x:v>
      </x:c>
      <x:c r="C13" s="18" t="str"/>
      <x:c r="D13" s="18" t="n">
        <x:v>60</x:v>
      </x:c>
      <x:c r="E13" s="18" t="n">
        <x:v>37140</x:v>
      </x:c>
      <x:c r="F13" s="18" t="str">
        <x:v>待確認</x:v>
      </x:c>
      <x:c r="G13" s="18" t="str"/>
      <x:c r="H13" s="18" t="str"/>
      <x:c r="I13" s="18" t="str">
        <x:v>貴賓禮交付紀錄</x:v>
      </x:c>
      <x:c r="J13" s="18" t="str">
        <x:v>既有清單彙總</x:v>
      </x:c>
    </x:row>
    <x:row r="14">
      <x:c r="A14" s="18" t="str">
        <x:v>其他支出</x:v>
      </x:c>
      <x:c r="B14" s="18" t="str">
        <x:v>長官禮及抽獎禮採購運費</x:v>
      </x:c>
      <x:c r="C14" s="18" t="str"/>
      <x:c r="D14" s="18" t="str"/>
      <x:c r="E14" s="18" t="n">
        <x:v>506</x:v>
      </x:c>
      <x:c r="F14" s="18" t="str">
        <x:v>待確認</x:v>
      </x:c>
      <x:c r="G14" s="18" t="str"/>
      <x:c r="H14" s="18" t="str"/>
      <x:c r="I14" s="18" t="str">
        <x:v>核銷</x:v>
      </x:c>
      <x:c r="J14" s="18" t="str">
        <x:v>既有清單</x:v>
      </x:c>
    </x:row>
    <x:row r="15">
      <x:c r="A15" s="18" t="str">
        <x:v>其他支出</x:v>
      </x:c>
      <x:c r="B15" s="18" t="str">
        <x:v>長官禮多出來的費用</x:v>
      </x:c>
      <x:c r="C15" s="18" t="str"/>
      <x:c r="D15" s="18" t="str"/>
      <x:c r="E15" s="18" t="n">
        <x:v>520</x:v>
      </x:c>
      <x:c r="F15" s="18" t="str">
        <x:v>待確認</x:v>
      </x:c>
      <x:c r="G15" s="18" t="str"/>
      <x:c r="H15" s="18" t="str"/>
      <x:c r="I15" s="18" t="str">
        <x:v>核銷</x:v>
      </x:c>
      <x:c r="J15" s="18" t="str">
        <x:v>既有清單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2" hidden="0" customWidth="1"/>
    <x:col min="5" max="5" width="12" hidden="0" customWidth="1"/>
    <x:col min="6" max="6" width="16" hidden="0" customWidth="1"/>
    <x:col min="7" max="7" width="40" hidden="0" customWidth="1"/>
    <x:col min="8" max="8" width="14" hidden="0" customWidth="1"/>
    <x:col min="9" max="9" width="20" hidden="0" customWidth="1"/>
    <x:col min="10" max="10" width="42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14" t="str">
        <x:v>預算與付款控管｜場租、押金、廣宣、採購、核銷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L1" s="24" t="str">
        <x:v>預算摘要</x:v>
      </x:c>
      <x:c r="M1" s="24" t="str">
        <x:v>預算摘要</x:v>
      </x:c>
      <x:c r="N1" s="24" t="str">
        <x:v>預算摘要</x:v>
      </x:c>
    </x:row>
    <x:row r="2">
      <x:c r="A2" s="15" t="str">
        <x:v>用途：把付款節點、收據抬頭與核銷文件集中管理。金額待複核者用待確認標示。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  <x:c r="J2" s="15" t="str"/>
      <x:c r="L2" s="26" t="str">
        <x:v>已填金額合計</x:v>
      </x:c>
      <x:c r="M2" s="8" t="n">
        <x:f>SUM(C5:C14)</x:f>
        <x:v>223156</x:v>
      </x:c>
      <x:c r="N2" s="8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L3" s="26" t="str">
        <x:v>已付合計</x:v>
      </x:c>
      <x:c r="M3" s="8" t="n">
        <x:f>SUM(D5:D14)</x:f>
        <x:v>4500</x:v>
      </x:c>
      <x:c r="N3" s="8" t="str"/>
    </x:row>
    <x:row r="4">
      <x:c r="A4" s="17" t="str">
        <x:v>類別</x:v>
      </x:c>
      <x:c r="B4" s="17" t="str">
        <x:v>項目</x:v>
      </x:c>
      <x:c r="C4" s="17" t="str">
        <x:v>金額</x:v>
      </x:c>
      <x:c r="D4" s="17" t="str">
        <x:v>已付</x:v>
      </x:c>
      <x:c r="E4" s="17" t="str">
        <x:v>待付</x:v>
      </x:c>
      <x:c r="F4" s="17" t="str">
        <x:v>付款日/預計日</x:v>
      </x:c>
      <x:c r="G4" s="17" t="str">
        <x:v>收據/發票抬頭</x:v>
      </x:c>
      <x:c r="H4" s="17" t="str">
        <x:v>狀態</x:v>
      </x:c>
      <x:c r="I4" s="17" t="str">
        <x:v>主責</x:v>
      </x:c>
      <x:c r="J4" s="17" t="str">
        <x:v>備註</x:v>
      </x:c>
      <x:c r="L4" s="26" t="str">
        <x:v>待付合計</x:v>
      </x:c>
      <x:c r="M4" s="8" t="n">
        <x:f>SUM(E5:E14)</x:f>
        <x:v>10000</x:v>
      </x:c>
      <x:c r="N4" s="8" t="str"/>
    </x:row>
    <x:row r="5">
      <x:c r="A5" s="18" t="str">
        <x:v>場租</x:v>
      </x:c>
      <x:c r="B5" s="18" t="str">
        <x:v>10/3大型行銷活動場地租賃費</x:v>
      </x:c>
      <x:c r="C5" s="18" t="n">
        <x:v>7500</x:v>
      </x:c>
      <x:c r="D5" s="18" t="n">
        <x:v>4500</x:v>
      </x:c>
      <x:c r="E5" s="18" t="str">
        <x:v>待複核</x:v>
      </x:c>
      <x:c r="F5" s="18" t="str">
        <x:v>2026-10-02</x:v>
      </x:c>
      <x:c r="G5" s="18" t="str">
        <x:v>在一起地域循環設計有限公司、財團法人中山管理教育基金會</x:v>
      </x:c>
      <x:c r="H5" s="20" t="str">
        <x:v>進行中</x:v>
      </x:c>
      <x:c r="I5" s="18" t="str">
        <x:v>行政財務</x:v>
      </x:c>
      <x:c r="J5" s="18" t="str">
        <x:v>文件提到累計已付4,500元；尾款金額文字需複核</x:v>
      </x:c>
      <x:c r="L5" s="26" t="str">
        <x:v>待確認筆數</x:v>
      </x:c>
      <x:c r="M5" s="8" t="n">
        <x:f>COUNTIF(H5:H14,"待確認")</x:f>
        <x:v>7</x:v>
      </x:c>
      <x:c r="N5" s="8" t="str"/>
    </x:row>
    <x:row r="6">
      <x:c r="A6" s="18" t="str">
        <x:v>場租</x:v>
      </x:c>
      <x:c r="B6" s="18" t="str">
        <x:v>10/2增租場佈</x:v>
      </x:c>
      <x:c r="C6" s="18" t="str"/>
      <x:c r="D6" s="18" t="str"/>
      <x:c r="E6" s="18" t="str"/>
      <x:c r="F6" s="18" t="str">
        <x:v>2026-10-02</x:v>
      </x:c>
      <x:c r="G6" s="18" t="str">
        <x:v>同上</x:v>
      </x:c>
      <x:c r="H6" s="20" t="str">
        <x:v>進行中</x:v>
      </x:c>
      <x:c r="I6" s="18" t="str">
        <x:v>行政財務</x:v>
      </x:c>
      <x:c r="J6" s="18" t="str">
        <x:v>已決議增租10/2作為前置場佈</x:v>
      </x:c>
    </x:row>
    <x:row r="7">
      <x:c r="A7" s="18" t="str">
        <x:v>押金</x:v>
      </x:c>
      <x:c r="B7" s="18" t="str">
        <x:v>活動當天服務中心押金</x:v>
      </x:c>
      <x:c r="C7" s="18" t="n">
        <x:v>10000</x:v>
      </x:c>
      <x:c r="D7" s="18" t="n">
        <x:v>0</x:v>
      </x:c>
      <x:c r="E7" s="18" t="n">
        <x:v>10000</x:v>
      </x:c>
      <x:c r="F7" s="18" t="str">
        <x:v>2026-10-03</x:v>
      </x:c>
      <x:c r="G7" s="18" t="str">
        <x:v>押金退回</x:v>
      </x:c>
      <x:c r="H7" s="21" t="str">
        <x:v>待確認</x:v>
      </x:c>
      <x:c r="I7" s="18" t="str">
        <x:v>行政財務</x:v>
      </x:c>
      <x:c r="J7" s="18" t="str">
        <x:v>活動結束場地復原後退回</x:v>
      </x:c>
    </x:row>
    <x:row r="8">
      <x:c r="A8" s="18" t="str">
        <x:v>廣宣</x:v>
      </x:c>
      <x:c r="B8" s="18" t="str">
        <x:v>戶外電視牆廣告</x:v>
      </x:c>
      <x:c r="C8" s="18" t="str"/>
      <x:c r="D8" s="18" t="str"/>
      <x:c r="E8" s="18" t="str"/>
      <x:c r="F8" s="18" t="str">
        <x:v>2026-09-05</x:v>
      </x:c>
      <x:c r="G8" s="18" t="str">
        <x:v>待確認</x:v>
      </x:c>
      <x:c r="H8" s="21" t="str">
        <x:v>待確認</x:v>
      </x:c>
      <x:c r="I8" s="18" t="str">
        <x:v>行銷組/行政財務</x:v>
      </x:c>
      <x:c r="J8" s="18" t="str">
        <x:v>依廣告宣傳資料夾報價確認</x:v>
      </x:c>
    </x:row>
    <x:row r="9">
      <x:c r="A9" s="18" t="str">
        <x:v>廣宣</x:v>
      </x:c>
      <x:c r="B9" s="18" t="str">
        <x:v>廣播廣告投放</x:v>
      </x:c>
      <x:c r="C9" s="18" t="str"/>
      <x:c r="D9" s="18" t="str"/>
      <x:c r="E9" s="18" t="str"/>
      <x:c r="F9" s="18" t="str">
        <x:v>2026-09-23</x:v>
      </x:c>
      <x:c r="G9" s="18" t="str">
        <x:v>待確認</x:v>
      </x:c>
      <x:c r="H9" s="21" t="str">
        <x:v>待確認</x:v>
      </x:c>
      <x:c r="I9" s="18" t="str">
        <x:v>行銷組/行政財務</x:v>
      </x:c>
      <x:c r="J9" s="18" t="str">
        <x:v>已有20秒排檔報價資料</x:v>
      </x:c>
    </x:row>
    <x:row r="10">
      <x:c r="A10" s="18" t="str">
        <x:v>廣宣</x:v>
      </x:c>
      <x:c r="B10" s="18" t="str">
        <x:v>路邊廣告旗幟</x:v>
      </x:c>
      <x:c r="C10" s="18" t="str"/>
      <x:c r="D10" s="18" t="str"/>
      <x:c r="E10" s="18" t="str"/>
      <x:c r="F10" s="18" t="str">
        <x:v>2026-09-20</x:v>
      </x:c>
      <x:c r="G10" s="18" t="str">
        <x:v>待確認</x:v>
      </x:c>
      <x:c r="H10" s="21" t="str">
        <x:v>待確認</x:v>
      </x:c>
      <x:c r="I10" s="18" t="str">
        <x:v>行銷組/行政財務</x:v>
      </x:c>
      <x:c r="J10" s="18" t="str"/>
    </x:row>
    <x:row r="11">
      <x:c r="A11" s="18" t="str">
        <x:v>採購</x:v>
      </x:c>
      <x:c r="B11" s="18" t="str">
        <x:v>抽獎獎品與扭蛋/同樂券</x:v>
      </x:c>
      <x:c r="C11" s="18" t="n">
        <x:v>151136</x:v>
      </x:c>
      <x:c r="D11" s="18" t="str"/>
      <x:c r="E11" s="18" t="str"/>
      <x:c r="F11" s="18" t="str">
        <x:v>2026-09-20</x:v>
      </x:c>
      <x:c r="G11" s="18" t="str">
        <x:v>待確認</x:v>
      </x:c>
      <x:c r="H11" s="21" t="str">
        <x:v>待確認</x:v>
      </x:c>
      <x:c r="I11" s="18" t="str">
        <x:v>行政財務</x:v>
      </x:c>
      <x:c r="J11" s="18" t="str">
        <x:v>依既有獎品清單粗估，需和最終採購版核對</x:v>
      </x:c>
    </x:row>
    <x:row r="12">
      <x:c r="A12" s="18" t="str">
        <x:v>採購</x:v>
      </x:c>
      <x:c r="B12" s="18" t="str">
        <x:v>長官禮與貴賓禮</x:v>
      </x:c>
      <x:c r="C12" s="18" t="n">
        <x:v>54520</x:v>
      </x:c>
      <x:c r="D12" s="18" t="str"/>
      <x:c r="E12" s="18" t="str"/>
      <x:c r="F12" s="18" t="str">
        <x:v>2026-09-20</x:v>
      </x:c>
      <x:c r="G12" s="18" t="str">
        <x:v>待確認</x:v>
      </x:c>
      <x:c r="H12" s="21" t="str">
        <x:v>待確認</x:v>
      </x:c>
      <x:c r="I12" s="18" t="str">
        <x:v>行政財務</x:v>
      </x:c>
      <x:c r="J12" s="18" t="str">
        <x:v>既有清單彙總</x:v>
      </x:c>
    </x:row>
    <x:row r="13">
      <x:c r="A13" s="18" t="str">
        <x:v>人力</x:v>
      </x:c>
      <x:c r="B13" s="18" t="str">
        <x:v>臨時工</x:v>
      </x:c>
      <x:c r="C13" s="18" t="str"/>
      <x:c r="D13" s="18" t="str"/>
      <x:c r="E13" s="18" t="str"/>
      <x:c r="F13" s="18" t="str">
        <x:v>2026-09-05</x:v>
      </x:c>
      <x:c r="G13" s="18" t="str">
        <x:v>待確認</x:v>
      </x:c>
      <x:c r="H13" s="22" t="str">
        <x:v>未開始</x:v>
      </x:c>
      <x:c r="I13" s="18" t="str">
        <x:v>人力組/行政財務</x:v>
      </x:c>
      <x:c r="J13" s="18" t="str">
        <x:v>簡報建議10名臨時工</x:v>
      </x:c>
    </x:row>
    <x:row r="14">
      <x:c r="A14" s="18" t="str">
        <x:v>保險/許可</x:v>
      </x:c>
      <x:c r="B14" s="18" t="str">
        <x:v>大型活動申請、保險、緊急應變</x:v>
      </x:c>
      <x:c r="C14" s="18" t="str"/>
      <x:c r="D14" s="18" t="str"/>
      <x:c r="E14" s="18" t="str"/>
      <x:c r="F14" s="18" t="str">
        <x:v>2026-07-31</x:v>
      </x:c>
      <x:c r="G14" s="18" t="str">
        <x:v>待確認</x:v>
      </x:c>
      <x:c r="H14" s="21" t="str">
        <x:v>待確認</x:v>
      </x:c>
      <x:c r="I14" s="18" t="str">
        <x:v>行政組</x:v>
      </x:c>
      <x:c r="J14" s="18" t="str">
        <x:v>籌備期關鍵任務</x:v>
      </x:c>
    </x:row>
  </x:sheetData>
  <x:mergeCells>
    <x:mergeCell ref="A1:J1"/>
    <x:mergeCell ref="A2:J2"/>
    <x:mergeCell ref="L1:N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2" hidden="0" customWidth="1"/>
    <x:col min="4" max="4" width="42" hidden="0" customWidth="1"/>
    <x:col min="5" max="5" width="18" hidden="0" customWidth="1"/>
    <x:col min="6" max="6" width="18" hidden="0" customWidth="1"/>
    <x:col min="7" max="7" width="32" hidden="0" customWidth="1"/>
    <x:col min="8" max="8" width="14" hidden="0" customWidth="1"/>
  </x:cols>
  <x:sheetData>
    <x:row r="1">
      <x:c r="A1" s="14" t="str">
        <x:v>風險與應變矩陣｜活動前必須逐項確認</x:v>
      </x:c>
      <x:c r="B1" s="14" t="str"/>
      <x:c r="C1" s="14" t="str"/>
      <x:c r="D1" s="14" t="str"/>
      <x:c r="E1" s="14" t="str"/>
      <x:c r="F1" s="14" t="str"/>
      <x:c r="G1" s="14" t="str"/>
      <x:c r="H1" s="14" t="str"/>
    </x:row>
    <x:row r="2">
      <x:c r="A2" s="15" t="str">
        <x:v>用途：每次籌備會檢查高風險項目是否已有預防措施、現場處理人與通報窗口。</x:v>
      </x:c>
      <x:c r="B2" s="15" t="str"/>
      <x:c r="C2" s="15" t="str"/>
      <x:c r="D2" s="15" t="str"/>
      <x:c r="E2" s="15" t="str"/>
      <x:c r="F2" s="15" t="str"/>
      <x:c r="G2" s="15" t="str"/>
      <x:c r="H2" s="15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</x:row>
    <x:row r="4">
      <x:c r="A4" s="17" t="str">
        <x:v>風險類型</x:v>
      </x:c>
      <x:c r="B4" s="17" t="str">
        <x:v>情境</x:v>
      </x:c>
      <x:c r="C4" s="17" t="str">
        <x:v>風險等級</x:v>
      </x:c>
      <x:c r="D4" s="17" t="str">
        <x:v>預防措施</x:v>
      </x:c>
      <x:c r="E4" s="17" t="str">
        <x:v>現場處理人</x:v>
      </x:c>
      <x:c r="F4" s="17" t="str">
        <x:v>通報窗口</x:v>
      </x:c>
      <x:c r="G4" s="17" t="str">
        <x:v>決策門檻</x:v>
      </x:c>
      <x:c r="H4" s="17" t="str">
        <x:v>狀態</x:v>
      </x:c>
    </x:row>
    <x:row r="5">
      <x:c r="A5" s="18" t="str">
        <x:v>天候</x:v>
      </x:c>
      <x:c r="B5" s="18" t="str">
        <x:v>下雨或強風影響戶外展售與舞台</x:v>
      </x:c>
      <x:c r="C5" s="23" t="str">
        <x:v>風險</x:v>
      </x:c>
      <x:c r="D5" s="18" t="str">
        <x:v>雨備配置、帳篷固定、防水物料、活動前72小時決策</x:v>
      </x:c>
      <x:c r="E5" s="18" t="str">
        <x:v>活動組</x:v>
      </x:c>
      <x:c r="F5" s="18" t="str">
        <x:v>總指揮</x:v>
      </x:c>
      <x:c r="G5" s="18" t="str">
        <x:v>是否啟動雨備/調整舞台</x:v>
      </x:c>
      <x:c r="H5" s="18" t="str">
        <x:v>待確認</x:v>
      </x:c>
    </x:row>
    <x:row r="6">
      <x:c r="A6" s="18" t="str">
        <x:v>人潮</x:v>
      </x:c>
      <x:c r="B6" s="18" t="str">
        <x:v>500-1000人流造成壅塞或排隊</x:v>
      </x:c>
      <x:c r="C6" s="23" t="str">
        <x:v>風險</x:v>
      </x:c>
      <x:c r="D6" s="18" t="str">
        <x:v>入口、服務台、兌獎動線分流</x:v>
      </x:c>
      <x:c r="E6" s="18" t="str">
        <x:v>總協調/服務台</x:v>
      </x:c>
      <x:c r="F6" s="18" t="str">
        <x:v>總指揮</x:v>
      </x:c>
      <x:c r="G6" s="18" t="str">
        <x:v>壅塞超過10分鐘啟動分流</x:v>
      </x:c>
      <x:c r="H6" s="18" t="str">
        <x:v>待確認</x:v>
      </x:c>
    </x:row>
    <x:row r="7">
      <x:c r="A7" s="18" t="str">
        <x:v>電力</x:v>
      </x:c>
      <x:c r="B7" s="18" t="str">
        <x:v>攤位設備用電過高導致跳電</x:v>
      </x:c>
      <x:c r="C7" s="23" t="str">
        <x:v>風險</x:v>
      </x:c>
      <x:c r="D7" s="18" t="str">
        <x:v>事前收設備功率、限制高功率設備、備用延長線</x:v>
      </x:c>
      <x:c r="E7" s="18" t="str">
        <x:v>活動組</x:v>
      </x:c>
      <x:c r="F7" s="18" t="str">
        <x:v>總協調</x:v>
      </x:c>
      <x:c r="G7" s="18" t="str">
        <x:v>跳電立即關閉非必要用電</x:v>
      </x:c>
      <x:c r="H7" s="18" t="str">
        <x:v>待確認</x:v>
      </x:c>
    </x:row>
    <x:row r="8">
      <x:c r="A8" s="18" t="str">
        <x:v>攤商</x:v>
      </x:c>
      <x:c r="B8" s="18" t="str">
        <x:v>攤商未到、遲到或設備需求與登記不符</x:v>
      </x:c>
      <x:c r="C8" s="18" t="str">
        <x:v>中</x:v>
      </x:c>
      <x:c r="D8" s="18" t="str">
        <x:v>報到表、備取攤位、現場協調人</x:v>
      </x:c>
      <x:c r="E8" s="18" t="str">
        <x:v>招商組</x:v>
      </x:c>
      <x:c r="F8" s="18" t="str">
        <x:v>總協調</x:v>
      </x:c>
      <x:c r="G8" s="18" t="str">
        <x:v>13:00未報到啟動備案</x:v>
      </x:c>
      <x:c r="H8" s="18" t="str">
        <x:v>待確認</x:v>
      </x:c>
    </x:row>
    <x:row r="9">
      <x:c r="A9" s="18" t="str">
        <x:v>貴賓</x:v>
      </x:c>
      <x:c r="B9" s="18" t="str">
        <x:v>致詞/巡禮/聯訪時間異動</x:v>
      </x:c>
      <x:c r="C9" s="18" t="str">
        <x:v>中</x:v>
      </x:c>
      <x:c r="D9" s="18" t="str">
        <x:v>備用流程、貴賓聯絡群、主持稿彈性版</x:v>
      </x:c>
      <x:c r="E9" s="18" t="str">
        <x:v>貴賓組</x:v>
      </x:c>
      <x:c r="F9" s="18" t="str">
        <x:v>總指揮</x:v>
      </x:c>
      <x:c r="G9" s="18" t="str">
        <x:v>貴賓到場時間變動即改流程</x:v>
      </x:c>
      <x:c r="H9" s="18" t="str">
        <x:v>待確認</x:v>
      </x:c>
    </x:row>
    <x:row r="10">
      <x:c r="A10" s="18" t="str">
        <x:v>媒體</x:v>
      </x:c>
      <x:c r="B10" s="18" t="str">
        <x:v>聯訪位置混亂或受訪人不明</x:v>
      </x:c>
      <x:c r="C10" s="18" t="str">
        <x:v>中</x:v>
      </x:c>
      <x:c r="D10" s="18" t="str">
        <x:v>媒體包、聯訪點、受訪名單與Q&amp;A</x:v>
      </x:c>
      <x:c r="E10" s="18" t="str">
        <x:v>公關媒體組</x:v>
      </x:c>
      <x:c r="F10" s="18" t="str">
        <x:v>總指揮</x:v>
      </x:c>
      <x:c r="G10" s="18" t="str">
        <x:v>媒體到場即派專人帶位</x:v>
      </x:c>
      <x:c r="H10" s="18" t="str">
        <x:v>待確認</x:v>
      </x:c>
    </x:row>
    <x:row r="11">
      <x:c r="A11" s="18" t="str">
        <x:v>促銷</x:v>
      </x:c>
      <x:c r="B11" s="18" t="str">
        <x:v>兌換券、摸彩券、獎品發放爭議</x:v>
      </x:c>
      <x:c r="C11" s="23" t="str">
        <x:v>風險</x:v>
      </x:c>
      <x:c r="D11" s="18" t="str">
        <x:v>活動規則公告、編號管理、簽收表</x:v>
      </x:c>
      <x:c r="E11" s="18" t="str">
        <x:v>服務台</x:v>
      </x:c>
      <x:c r="F11" s="18" t="str">
        <x:v>總協調</x:v>
      </x:c>
      <x:c r="G11" s="18" t="str">
        <x:v>爭議交由服務台組長判定</x:v>
      </x:c>
      <x:c r="H11" s="18" t="str">
        <x:v>待確認</x:v>
      </x:c>
    </x:row>
    <x:row r="12">
      <x:c r="A12" s="18" t="str">
        <x:v>安全</x:v>
      </x:c>
      <x:c r="B12" s="18" t="str">
        <x:v>民眾受傷或身體不適</x:v>
      </x:c>
      <x:c r="C12" s="23" t="str">
        <x:v>風險</x:v>
      </x:c>
      <x:c r="D12" s="18" t="str">
        <x:v>救護點、緊急通報流程、保險資料</x:v>
      </x:c>
      <x:c r="E12" s="18" t="str">
        <x:v>行政組</x:v>
      </x:c>
      <x:c r="F12" s="18" t="str">
        <x:v>總指揮</x:v>
      </x:c>
      <x:c r="G12" s="18" t="str">
        <x:v>立即通報並紀錄</x:v>
      </x:c>
      <x:c r="H12" s="18" t="str">
        <x:v>待確認</x:v>
      </x:c>
    </x:row>
    <x:row r="13">
      <x:c r="A13" s="18" t="str">
        <x:v>撤場</x:v>
      </x:c>
      <x:c r="B13" s="18" t="str">
        <x:v>撤場延誤或場地復原不完全影響押金</x:v>
      </x:c>
      <x:c r="C13" s="18" t="str">
        <x:v>中</x:v>
      </x:c>
      <x:c r="D13" s="18" t="str">
        <x:v>撤場清點表、分區負責、場地方共同確認</x:v>
      </x:c>
      <x:c r="E13" s="18" t="str">
        <x:v>活動組</x:v>
      </x:c>
      <x:c r="F13" s="18" t="str">
        <x:v>行政財務</x:v>
      </x:c>
      <x:c r="G13" s="18" t="str">
        <x:v>撤場完成後拍照存證</x:v>
      </x:c>
      <x:c r="H13" s="18" t="str">
        <x:v>未開始</x:v>
      </x:c>
    </x:row>
    <x:row r="14">
      <x:c r="A14" s="18" t="str">
        <x:v>聲量</x:v>
      </x:c>
      <x:c r="B14" s="18" t="str">
        <x:v>社群負評或現場抱怨</x:v>
      </x:c>
      <x:c r="C14" s="18" t="str">
        <x:v>中</x:v>
      </x:c>
      <x:c r="D14" s="18" t="str">
        <x:v>客服回覆口徑、現場申訴紀錄、負責窗口</x:v>
      </x:c>
      <x:c r="E14" s="18" t="str">
        <x:v>行銷組/服務台</x:v>
      </x:c>
      <x:c r="F14" s="18" t="str">
        <x:v>總指揮</x:v>
      </x:c>
      <x:c r="G14" s="18" t="str">
        <x:v>重大負評先內部確認再回覆</x:v>
      </x:c>
      <x:c r="H14" s="18" t="str">
        <x:v>待確認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42" hidden="0" customWidth="1"/>
    <x:col min="4" max="4" width="18" hidden="0" customWidth="1"/>
    <x:col min="5" max="5" width="22" hidden="0" customWidth="1"/>
    <x:col min="6" max="6" width="14" hidden="0" customWidth="1"/>
    <x:col min="7" max="7" width="14" hidden="0" customWidth="1"/>
    <x:col min="8" max="8" width="34" hidden="0" customWidth="1"/>
    <x:col min="9" max="9" width="24" hidden="0" customWidth="1"/>
  </x:cols>
  <x:sheetData>
    <x:row r="1">
      <x:c r="A1" s="14" t="str">
        <x:v>會議決議與待辦｜把會議內容轉成可追蹤任務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</x:row>
    <x:row r="2">
      <x:c r="A2" s="15" t="str">
        <x:v>用途：每次籌備會後更新，避免決議散在簡報或對話中。建議一列只放一件待辦。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</x:row>
    <x:row r="4">
      <x:c r="A4" s="17" t="str">
        <x:v>日期</x:v>
      </x:c>
      <x:c r="B4" s="17" t="str">
        <x:v>會議/來源</x:v>
      </x:c>
      <x:c r="C4" s="17" t="str">
        <x:v>決議/待辦</x:v>
      </x:c>
      <x:c r="D4" s="17" t="str">
        <x:v>主責</x:v>
      </x:c>
      <x:c r="E4" s="17" t="str">
        <x:v>協作</x:v>
      </x:c>
      <x:c r="F4" s="17" t="str">
        <x:v>期限</x:v>
      </x:c>
      <x:c r="G4" s="17" t="str">
        <x:v>狀態</x:v>
      </x:c>
      <x:c r="H4" s="17" t="str">
        <x:v>下一步</x:v>
      </x:c>
      <x:c r="I4" s="17" t="str">
        <x:v>備註</x:v>
      </x:c>
    </x:row>
    <x:row r="5">
      <x:c r="A5" s="18" t="str">
        <x:v>2026-06-02</x:v>
      </x:c>
      <x:c r="B5" s="18" t="str">
        <x:v>一籌會議</x:v>
      </x:c>
      <x:c r="C5" s="18" t="str">
        <x:v>建立四期籌備時程並轉成總控甘特</x:v>
      </x:c>
      <x:c r="D5" s="18" t="str">
        <x:v>專案統籌</x:v>
      </x:c>
      <x:c r="E5" s="18" t="str">
        <x:v>各組</x:v>
      </x:c>
      <x:c r="F5" s="18" t="str">
        <x:v>2026-07-10</x:v>
      </x:c>
      <x:c r="G5" s="19" t="str">
        <x:v>已完成</x:v>
      </x:c>
      <x:c r="H5" s="18" t="str">
        <x:v>持續更新本總控表</x:v>
      </x:c>
      <x:c r="I5" s="18" t="str">
        <x:v>已轉入02_總控甘特</x:v>
      </x:c>
    </x:row>
    <x:row r="6">
      <x:c r="A6" s="18" t="str">
        <x:v>2026-06-02</x:v>
      </x:c>
      <x:c r="B6" s="18" t="str">
        <x:v>一籌會議</x:v>
      </x:c>
      <x:c r="C6" s="18" t="str">
        <x:v>確認活動流程初版</x:v>
      </x:c>
      <x:c r="D6" s="18" t="str">
        <x:v>舞台組</x:v>
      </x:c>
      <x:c r="E6" s="18" t="str">
        <x:v>主持人/表演團體</x:v>
      </x:c>
      <x:c r="F6" s="18" t="str">
        <x:v>2026-08-31</x:v>
      </x:c>
      <x:c r="G6" s="20" t="str">
        <x:v>進行中</x:v>
      </x:c>
      <x:c r="H6" s="18" t="str">
        <x:v>補主持人、表演團體、cue表</x:v>
      </x:c>
      <x:c r="I6" s="18" t="str">
        <x:v>已轉入06_RunSheet</x:v>
      </x:c>
    </x:row>
    <x:row r="7">
      <x:c r="A7" s="18" t="str">
        <x:v>2026-06-02</x:v>
      </x:c>
      <x:c r="B7" s="18" t="str">
        <x:v>一籌會議</x:v>
      </x:c>
      <x:c r="C7" s="18" t="str">
        <x:v>確認38攤配置架構</x:v>
      </x:c>
      <x:c r="D7" s="18" t="str">
        <x:v>活動組/招商組</x:v>
      </x:c>
      <x:c r="E7" s="18" t="str">
        <x:v>設計組</x:v>
      </x:c>
      <x:c r="F7" s="18" t="str">
        <x:v>2026-07-31</x:v>
      </x:c>
      <x:c r="G7" s="20" t="str">
        <x:v>進行中</x:v>
      </x:c>
      <x:c r="H7" s="18" t="str">
        <x:v>匯入單位需求調查</x:v>
      </x:c>
      <x:c r="I7" s="18" t="str">
        <x:v>需取得表單回覆</x:v>
      </x:c>
    </x:row>
    <x:row r="8">
      <x:c r="A8" s="18" t="str">
        <x:v>2026-06-02</x:v>
      </x:c>
      <x:c r="B8" s="18" t="str">
        <x:v>一籌會議</x:v>
      </x:c>
      <x:c r="C8" s="18" t="str">
        <x:v>人員分工多處待確認</x:v>
      </x:c>
      <x:c r="D8" s="18" t="str">
        <x:v>專案統籌</x:v>
      </x:c>
      <x:c r="E8" s="18" t="str">
        <x:v>各組組長</x:v>
      </x:c>
      <x:c r="F8" s="18" t="str">
        <x:v>2026-07-20</x:v>
      </x:c>
      <x:c r="G8" s="21" t="str">
        <x:v>待確認</x:v>
      </x:c>
      <x:c r="H8" s="18" t="str">
        <x:v>補姓名、電話、代理人</x:v>
      </x:c>
      <x:c r="I8" s="18" t="str">
        <x:v>高優先</x:v>
      </x:c>
    </x:row>
    <x:row r="9">
      <x:c r="A9" s="18" t="str">
        <x:v>2026-06-10</x:v>
      </x:c>
      <x:c r="B9" s="18" t="str">
        <x:v>場租說明</x:v>
      </x:c>
      <x:c r="C9" s="18" t="str">
        <x:v>10/2增租作為前置場佈</x:v>
      </x:c>
      <x:c r="D9" s="18" t="str">
        <x:v>行政財務/活動組</x:v>
      </x:c>
      <x:c r="E9" s="18" t="str">
        <x:v>場地方</x:v>
      </x:c>
      <x:c r="F9" s="18" t="str">
        <x:v>2026-09-20</x:v>
      </x:c>
      <x:c r="G9" s="20" t="str">
        <x:v>進行中</x:v>
      </x:c>
      <x:c r="H9" s="18" t="str">
        <x:v>複核尾款、押金與收據</x:v>
      </x:c>
      <x:c r="I9" s="18" t="str">
        <x:v>已轉入09_預算付款</x:v>
      </x:c>
    </x:row>
    <x:row r="10">
      <x:c r="A10" s="18" t="str">
        <x:v>2026-07-03</x:v>
      </x:c>
      <x:c r="B10" s="18" t="str">
        <x:v>總控表建立</x:v>
      </x:c>
      <x:c r="C10" s="18" t="str">
        <x:v>下一次籌備會先審00-03頁，再分組補04-10頁</x:v>
      </x:c>
      <x:c r="D10" s="18" t="str">
        <x:v>專案統籌</x:v>
      </x:c>
      <x:c r="E10" s="18" t="str">
        <x:v>各組</x:v>
      </x:c>
      <x:c r="F10" s="18" t="str">
        <x:v>2026-07-10</x:v>
      </x:c>
      <x:c r="G10" s="20" t="str">
        <x:v>進行中</x:v>
      </x:c>
      <x:c r="H10" s="18" t="str">
        <x:v>安排30分鐘表格走讀</x:v>
      </x:c>
      <x:c r="I10" s="18" t="str"/>
    </x:row>
  </x:sheetData>
  <x:mergeCells>
    <x:mergeCell ref="A1:I1"/>
    <x:mergeCell ref="A2:I2"/>
  </x:mergeCells>
  <x:pageMargins left="0.7" right="0.7" top="0.75" bottom="0.75" header="0.3" footer="0.3"/>
</x:worksheet>
</file>