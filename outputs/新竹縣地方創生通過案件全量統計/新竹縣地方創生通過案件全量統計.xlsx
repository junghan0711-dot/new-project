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unghanchiu/Documents/New project/outputs/新竹縣地方創生通過案件全量統計/"/>
    </mc:Choice>
  </mc:AlternateContent>
  <xr:revisionPtr revIDLastSave="0" documentId="8_{40FD4153-C0C4-5244-AFF9-C932027BE82F}" xr6:coauthVersionLast="47" xr6:coauthVersionMax="47" xr10:uidLastSave="{00000000-0000-0000-0000-000000000000}"/>
  <bookViews>
    <workbookView xWindow="0" yWindow="680" windowWidth="29840" windowHeight="16880" activeTab="1" xr2:uid="{00000000-000D-0000-FFFF-FFFF00000000}"/>
  </bookViews>
  <sheets>
    <sheet name="摘要統計" sheetId="1" r:id="rId1"/>
    <sheet name="全量案件明細" sheetId="2" r:id="rId2"/>
    <sheet name="類型統計" sheetId="3" r:id="rId3"/>
    <sheet name="鄉鎮統計" sheetId="4" r:id="rId4"/>
    <sheet name="年度統計" sheetId="5" r:id="rId5"/>
    <sheet name="資料口徑與來源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2" i="5"/>
  <c r="D2" i="5"/>
  <c r="C2" i="5"/>
  <c r="B2" i="5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B13" i="1"/>
  <c r="B12" i="1"/>
  <c r="B11" i="1"/>
  <c r="B10" i="1"/>
  <c r="E9" i="1"/>
  <c r="B9" i="1"/>
  <c r="E8" i="1"/>
  <c r="B8" i="1"/>
  <c r="E7" i="1"/>
  <c r="E6" i="1"/>
  <c r="E5" i="1"/>
  <c r="B5" i="1"/>
  <c r="E4" i="1"/>
  <c r="B4" i="1"/>
</calcChain>
</file>

<file path=xl/sharedStrings.xml><?xml version="1.0" encoding="utf-8"?>
<sst xmlns="http://schemas.openxmlformats.org/spreadsheetml/2006/main" count="473" uniqueCount="235">
  <si>
    <t>新竹縣地方創生通過案件全量統計</t>
  </si>
  <si>
    <t>統計項目</t>
  </si>
  <si>
    <t>數值</t>
  </si>
  <si>
    <t>口徑</t>
  </si>
  <si>
    <t>排名</t>
  </si>
  <si>
    <t>類型</t>
  </si>
  <si>
    <t>有效案件數</t>
  </si>
  <si>
    <t>補助/獎勵金額合計</t>
  </si>
  <si>
    <t>全量案件數</t>
  </si>
  <si>
    <t>含核定後撤案、上限估算與提案書金額</t>
  </si>
  <si>
    <t>獎勵青年投入地方創生</t>
  </si>
  <si>
    <t>排除已撤案案件</t>
  </si>
  <si>
    <t>青年培力工作站</t>
  </si>
  <si>
    <t>鄉鎮覆蓋數</t>
  </si>
  <si>
    <t>依有效案件統計</t>
  </si>
  <si>
    <t>鄉鎮公所提案</t>
  </si>
  <si>
    <t>計畫類型數</t>
  </si>
  <si>
    <t>利他行動168</t>
  </si>
  <si>
    <t>有效案件補助/獎勵金額合計</t>
  </si>
  <si>
    <t>I欄加總，含利他168上限估算</t>
  </si>
  <si>
    <t>多元徵件/會報工作會議</t>
  </si>
  <si>
    <t>嚴格核定補助/獎勵金額合計</t>
  </si>
  <si>
    <t>排除上限估算、排除提案書未公開核定者</t>
  </si>
  <si>
    <t>公有空間活化</t>
  </si>
  <si>
    <t>有效案件提案/核定總經費合計</t>
  </si>
  <si>
    <t>L欄加總，含鄉鎮提案總經費</t>
  </si>
  <si>
    <t>撤案案件數</t>
  </si>
  <si>
    <t>狀態含撤案</t>
  </si>
  <si>
    <t>上限估算案件數</t>
  </si>
  <si>
    <t>納入嚴格核定統計=否且非提案書未公開核定</t>
  </si>
  <si>
    <t>需續查核定公文案件數</t>
  </si>
  <si>
    <t>嚴格統計=否</t>
  </si>
  <si>
    <t>年度</t>
  </si>
  <si>
    <t>原年度/版本註記</t>
  </si>
  <si>
    <t>案件名稱</t>
  </si>
  <si>
    <t>鄉鎮</t>
  </si>
  <si>
    <t>計畫類型</t>
  </si>
  <si>
    <t>子類型/批次</t>
  </si>
  <si>
    <t>申請/執行單位</t>
  </si>
  <si>
    <t>狀態</t>
  </si>
  <si>
    <t>補助/獎勵金額</t>
  </si>
  <si>
    <t>地方自籌</t>
  </si>
  <si>
    <t>民間投資/自籌</t>
  </si>
  <si>
    <t>提案/核定總經費</t>
  </si>
  <si>
    <t>金額口徑</t>
  </si>
  <si>
    <t>納入有效統計</t>
  </si>
  <si>
    <t>納入嚴格核定統計</t>
  </si>
  <si>
    <t>查核依據</t>
  </si>
  <si>
    <t>來源</t>
  </si>
  <si>
    <t>原表列112；公開資料為109年第14次工作會議</t>
  </si>
  <si>
    <t>新竹縣峨眉鄉地方創生計畫</t>
  </si>
  <si>
    <t>峨眉鄉</t>
  </si>
  <si>
    <t>行政院地方創生會報工作會議</t>
  </si>
  <si>
    <t>峨眉鄉公所</t>
  </si>
  <si>
    <t>通過/公開列示</t>
  </si>
  <si>
    <t>公開推估/媒合經費；地方自籌為近500萬元</t>
  </si>
  <si>
    <t>是</t>
  </si>
  <si>
    <t>縣府新聞列中央部會經費6820.8萬元、民間投資3619.2萬元、地方自籌近500萬元；國發會第14次工作會議資料。</t>
  </si>
  <si>
    <t>新竹縣府新聞；國發會新聞稿；https://information.hsinchu.gov.tw/News_Content.aspx?n=2203&amp;s=225153；https://www.ndc.gov.tw/nc_8456_33731</t>
  </si>
  <si>
    <t>原表列112；公開PDF為經費需求表</t>
  </si>
  <si>
    <t>新竹縣寶山鄉地方創生計畫</t>
  </si>
  <si>
    <t>寶山鄉</t>
  </si>
  <si>
    <t>寶山鄉公所</t>
  </si>
  <si>
    <t>公開經費需求表</t>
  </si>
  <si>
    <t>公開PDF列總經費需求886萬元、中央經費586萬元、民間投資300萬元。</t>
  </si>
  <si>
    <t>新竹縣府公開PDF；https://ws.hsinchu.gov.tw/Download.ashx?n=5a%2B25bGx6YSJ57aT6LK76ZyA5rGC6KGoLnBkZg%3D%3D&amp;u=LzAwMS9VcGxvYWQvMTQvcmVsZmlsZS85NDk5LzIyOTQ1MC8yYjljMDgyNy0yYTFhLTQ0Y2MtYjYyNS1hNThkOWU4NzNhMTMucGRm</t>
  </si>
  <si>
    <t>森林循環湖口創生地方創生青年培力工作站</t>
  </si>
  <si>
    <t>湖口鄉</t>
  </si>
  <si>
    <t>110年度核定</t>
  </si>
  <si>
    <t>森林循環碳經濟創生有限公司/REWOOD團隊</t>
  </si>
  <si>
    <t>核定</t>
  </si>
  <si>
    <t>核定經費</t>
  </si>
  <si>
    <t>縣府專頁列新竹縣110年獲核定3處青年培力工作站，各站核定經費300萬元。</t>
  </si>
  <si>
    <t>新竹縣地方創生專頁；https://www.hsinchu.gov.tw/News_Content.aspx?n=148&amp;s=201112</t>
  </si>
  <si>
    <t>共下歇 關西築新城</t>
  </si>
  <si>
    <t>關西鎮</t>
  </si>
  <si>
    <t>關西地方創生青年培力團隊</t>
  </si>
  <si>
    <t>地創團隊資料庫列110年度青年培力工作站；縣府專頁列每站300萬元。</t>
  </si>
  <si>
    <t>/Users/junghanchiu/2026 Data base/知識庫/地方創生資料庫/地創團隊/地創團隊完整資料庫.csv；https://www.hsinchu.gov.tw/News_Content.aspx?n=148&amp;s=201112</t>
  </si>
  <si>
    <t>共享峨眉-創生系統建構計畫</t>
  </si>
  <si>
    <t>竹縣文創藝術觀光發展協會</t>
  </si>
  <si>
    <t>「青年入庄來翻轉」新庄子公有市場2樓基地活化計畫</t>
  </si>
  <si>
    <t>新豐鄉</t>
  </si>
  <si>
    <t>地方創生公有建築空間整備活化補助</t>
  </si>
  <si>
    <t>新豐鄉公所</t>
  </si>
  <si>
    <t>國發會核定補助總經費</t>
  </si>
  <si>
    <t>縣府專頁列110年國發會核定補助總經費303萬5,660元。</t>
  </si>
  <si>
    <t>行動原香、地方飄鄉</t>
  </si>
  <si>
    <t>竹東鎮</t>
  </si>
  <si>
    <t>112年度青年行動計畫</t>
  </si>
  <si>
    <t>青年團隊</t>
  </si>
  <si>
    <t>入選/獎勵</t>
  </si>
  <si>
    <t>制度獎勵金；112年度每案30萬元</t>
  </si>
  <si>
    <t>地創團隊資料庫列112年度入選；112年度青年行動計畫獎勵金每案30萬元。</t>
  </si>
  <si>
    <t>/Users/junghanchiu/2026 Data base/知識庫/地方創生資料庫/地創團隊/地創團隊完整資料庫.csv</t>
  </si>
  <si>
    <t>芎林故事轉譯站</t>
  </si>
  <si>
    <t>芎林鄉</t>
  </si>
  <si>
    <t>地創團隊資料庫列112年度入選。</t>
  </si>
  <si>
    <t>歸日作粄橫生趣</t>
  </si>
  <si>
    <t>橫山鄉</t>
  </si>
  <si>
    <t>客家民族植物體驗遊程</t>
  </si>
  <si>
    <t>竹北市</t>
  </si>
  <si>
    <t>竹現靚行式．NeWow藝聚場-新竹縣創『客』基地</t>
  </si>
  <si>
    <t>新竹縣政府文化局</t>
  </si>
  <si>
    <t>核定後撤案</t>
  </si>
  <si>
    <t>核定金額；後續撤案</t>
  </si>
  <si>
    <t>否</t>
  </si>
  <si>
    <t>縣府專頁列112年度核定總經費267萬元、國發會213萬元、文化局配合款54萬元，後續撤案。</t>
  </si>
  <si>
    <t>森林循環湖口創生</t>
  </si>
  <si>
    <t>113年度核定</t>
  </si>
  <si>
    <t>森林循環碳經濟創生有限公司</t>
  </si>
  <si>
    <t>核定經費；每站原則300萬元</t>
  </si>
  <si>
    <t>地創團隊資料庫列113年度青年培力工作站；公開資料列每站原則300萬元。</t>
  </si>
  <si>
    <t>API鄉鎮欄曾列北埔；依大山背場域修正為橫山鄉</t>
  </si>
  <si>
    <t>大山橙黃橘綠時</t>
  </si>
  <si>
    <t>大山北月</t>
  </si>
  <si>
    <t>地創團隊資料庫列113年度青年培力工作站；描述場域為橫山鄉大山背。</t>
  </si>
  <si>
    <t>鹿寮坑溪青培工作站</t>
  </si>
  <si>
    <t>石竹創意工作室有限公司/鹿寮坑團隊</t>
  </si>
  <si>
    <t>地創團隊資料庫列113年度青年培力工作站；專案筆記提示鹿寮坑行政區以芎林鄉為準。</t>
  </si>
  <si>
    <t>/Users/junghanchiu/2026 Data base/知識庫/地方創生資料庫/地創團隊/地創團隊完整資料庫.csv；/Users/junghanchiu/2026 Data base/專案庫/北部辦公室/專案-115年度新竹縣地方創生輔導案.md</t>
  </si>
  <si>
    <t>延續補助，與110年度同團隊獨立計算</t>
  </si>
  <si>
    <t>共下歇青年工作站</t>
  </si>
  <si>
    <t>113年度延續補助</t>
  </si>
  <si>
    <t>核定/延續</t>
  </si>
  <si>
    <t>核定經費；延續補助每站原則300萬元</t>
  </si>
  <si>
    <t>公開資料列113年度延續補助地方創生青年培力工作站。</t>
  </si>
  <si>
    <t>國發會/公開核定名單</t>
  </si>
  <si>
    <t>新·新埔 故事手札</t>
  </si>
  <si>
    <t>新埔鎮</t>
  </si>
  <si>
    <t>113年度青年行動計畫</t>
  </si>
  <si>
    <t>制度獎勵金；113年度起每案35萬元</t>
  </si>
  <si>
    <t>地創團隊資料庫列113年度入選；公開資料列113年度獎勵金每隊35萬元。</t>
  </si>
  <si>
    <t>『漬』在一起吃</t>
  </si>
  <si>
    <t>地創團隊資料庫列113年度入選。</t>
  </si>
  <si>
    <t>留夏海田 野食趣</t>
  </si>
  <si>
    <t>新·新埔 後生聚</t>
  </si>
  <si>
    <t>114年度核定</t>
  </si>
  <si>
    <t>新埔地方創生青年培力團隊</t>
  </si>
  <si>
    <t>核定經費；每站300萬元</t>
  </si>
  <si>
    <t>地創團隊資料庫列114年度青年培力工作站；公開資料列核定金額300萬元。</t>
  </si>
  <si>
    <t>延續補助，與113年度鹿寮坑溪青培工作站獨立計算</t>
  </si>
  <si>
    <t>114年度延續補助</t>
  </si>
  <si>
    <t>石竹創意工作室有限公司</t>
  </si>
  <si>
    <t>核定經費；延續補助300萬元</t>
  </si>
  <si>
    <t>公開資料列114年度延續補助地方創生青年培力工作站鹿寮坑案。</t>
  </si>
  <si>
    <t>鹿寮坑製造˙里山工坊</t>
  </si>
  <si>
    <t>114年度青年行動計畫</t>
  </si>
  <si>
    <t>制度獎勵金；每案35萬元</t>
  </si>
  <si>
    <t>地創團隊資料庫列114年度入選；公開資料列青年行動計畫每隊35萬元。</t>
  </si>
  <si>
    <t>新竹縣峨眉鄉「時光村生態產業升級計畫」</t>
  </si>
  <si>
    <t>第46次工作會議</t>
  </si>
  <si>
    <t>峨眉地方創生團隊</t>
  </si>
  <si>
    <t>通過會報</t>
  </si>
  <si>
    <t>會報列示中央補助/匡列上限；非完整總經費</t>
  </si>
  <si>
    <t>第46次工作會議紀錄列客委會100萬元上限、勞動部305.629萬元上限、經濟部140萬元。</t>
  </si>
  <si>
    <t>第46次工作會議；https://gdd.hsinchu.gov.tw/News_Content.aspx?n=1212&amp;s=267784&amp;sms=9499</t>
  </si>
  <si>
    <t>新竹縣五峰鄉地方創生計畫</t>
  </si>
  <si>
    <t>五峰鄉</t>
  </si>
  <si>
    <t>第51次工作會議</t>
  </si>
  <si>
    <t>五峰鄉公所/地方團隊</t>
  </si>
  <si>
    <t>會報補助734.3萬元；提案書總經費1003萬元</t>
  </si>
  <si>
    <t>第51次會報補助合計734.3萬元；本機提案書列中央784.4萬元、民投218.6萬元、總經費1003萬元。</t>
  </si>
  <si>
    <t>國發會第51次通過頁；本機五峰提案書；https://www.ndc.gov.tw/nc_14813_39519</t>
  </si>
  <si>
    <t>115年度高階組</t>
  </si>
  <si>
    <t>核定經費；高階組300萬元</t>
  </si>
  <si>
    <t>115年度新竹縣輔導案正確名單列培力工作站高階；本機資料庫列核定經費300萬元。</t>
  </si>
  <si>
    <t>/Users/junghanchiu/2026 Data base/專案庫/北部辦公室/專案-115年度新竹縣地方創生輔導案.md；/Users/junghanchiu/2026 Data base/知識庫/地方創生資料庫/地創團隊/地創團隊完整資料庫.csv</t>
  </si>
  <si>
    <t>鹿寮坑細路青培工作站</t>
  </si>
  <si>
    <t>釀味漬灶所</t>
  </si>
  <si>
    <t>115年度利他行動168</t>
  </si>
  <si>
    <t>土者土者女子工作室</t>
  </si>
  <si>
    <t>制度最高獎勵金68萬元；公開名單未逐案列實支</t>
  </si>
  <si>
    <t>115年度正確名單列利他行動168；公開制度為最高提供68萬元。</t>
  </si>
  <si>
    <t>/Users/junghanchiu/2026 Data base/專案庫/北部辦公室/專案-115年度新竹縣地方創生輔導案.md</t>
  </si>
  <si>
    <t>糖米青銀新城樂Q誌</t>
  </si>
  <si>
    <t>樂山米食工作室</t>
  </si>
  <si>
    <t>好運村數位社區事務所</t>
  </si>
  <si>
    <t>115年度青年行動計畫</t>
  </si>
  <si>
    <t>制度獎勵金；115年度沿用每案35萬元口徑</t>
  </si>
  <si>
    <t>115年度新竹縣輔導案正確名單列獎勵青年投入。</t>
  </si>
  <si>
    <t>打粄橫好客語共創繪</t>
  </si>
  <si>
    <t>林林后循環木藝創生</t>
  </si>
  <si>
    <t>北埔鄉</t>
  </si>
  <si>
    <t>平論文地方創生計畫</t>
  </si>
  <si>
    <t>尖石鄉</t>
  </si>
  <si>
    <t>第55次工作會議</t>
  </si>
  <si>
    <t>尖石鄉公所</t>
  </si>
  <si>
    <t>本機提案書經費需求；公開頁未列補助金額</t>
  </si>
  <si>
    <t>1150318提案書列總經費1766.4996萬元、補助1654.3245萬元、地方自籌74.1751萬元、民投38萬元。</t>
  </si>
  <si>
    <t>國發會第55次通過頁；本機尖石提案書；https://www.ndc.gov.tw/nc_14813_40035</t>
  </si>
  <si>
    <t>案件數</t>
  </si>
  <si>
    <t>提案/核定總經費合計</t>
  </si>
  <si>
    <t>備註</t>
  </si>
  <si>
    <t>有效統計排除撤案</t>
  </si>
  <si>
    <t>金額採制度最高68萬元，上限估算</t>
  </si>
  <si>
    <t>項目</t>
  </si>
  <si>
    <t>本表處理方式</t>
  </si>
  <si>
    <t>影響</t>
  </si>
  <si>
    <t>後續查核建議</t>
  </si>
  <si>
    <t>全量定義</t>
  </si>
  <si>
    <t>納入新竹縣已通過、入選或核定之地方創生相關案件，含青培站、青年獎勵、利他168、公有空間、鄉鎮提案、多元徵件/會報案。</t>
  </si>
  <si>
    <t>不再只限鄉鎮公所提案與多元徵件。</t>
  </si>
  <si>
    <t>若要做到審計等級，需逐年度下載國發會PDF核定名單逐筆比對。</t>
  </si>
  <si>
    <t>年度重複/延續</t>
  </si>
  <si>
    <t>同團隊跨年度重新核定或延續補助者，以年度獨立案件計算。</t>
  </si>
  <si>
    <t>青培站數量會高於團隊數。</t>
  </si>
  <si>
    <t>可另製團隊主體去重表。</t>
  </si>
  <si>
    <t>撤案</t>
  </si>
  <si>
    <t>竹現靚行式．NeWow藝聚場列入全量案件，但不納入有效統計。</t>
  </si>
  <si>
    <t>全量與有效統計會相差1件。</t>
  </si>
  <si>
    <t>若只做『曾獲核定』可納入；若做『有效執行』應排除。</t>
  </si>
  <si>
    <t>利他168</t>
  </si>
  <si>
    <t>公開口徑為最高提供68萬元，本表以68萬元作上限估算，嚴格核定統計排除。</t>
  </si>
  <si>
    <t>有效金額合計會包含估算值。</t>
  </si>
  <si>
    <t>需查國發會或承辦單位核定函確認實支。</t>
  </si>
  <si>
    <t>平論文案</t>
  </si>
  <si>
    <t>公開國發會頁未列金額，本表採本機1150318提案書經費需求。</t>
  </si>
  <si>
    <t>嚴格核定統計排除，但有效總經費納入。</t>
  </si>
  <si>
    <t>需補第55次會議紀錄或各部會核定函。</t>
  </si>
  <si>
    <t>峨眉主案年度</t>
  </si>
  <si>
    <t>使用公開資料年度109，並註記原表列112。</t>
  </si>
  <si>
    <t>避免把案例年度與會報年度混淆。</t>
  </si>
  <si>
    <t>後續報告可另設『案例地圖年度』欄。</t>
  </si>
  <si>
    <t>大山橙黃橘綠時行政區</t>
  </si>
  <si>
    <t>API曾列北埔，依大山背場域修正為橫山鄉。</t>
  </si>
  <si>
    <t>鄉鎮統計採橫山。</t>
  </si>
  <si>
    <t>正式送件前用官方核定PDF再確認。</t>
  </si>
  <si>
    <t>金額單位</t>
  </si>
  <si>
    <t>全表以新台幣元計算，摘要可自行除以10,000轉為萬元。</t>
  </si>
  <si>
    <t>避免小數與四捨五入誤差。</t>
  </si>
  <si>
    <t>資料來源</t>
  </si>
  <si>
    <t>混合使用國發會/縣府公開資料、本機地創團隊資料庫、本機115年度新竹縣輔導案筆記與提案書。</t>
  </si>
  <si>
    <t>來源欄逐案列示。</t>
  </si>
  <si>
    <t>建議後續建立官方PDF附件索引。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</si>
</sst>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8"/>
      <color rgb="FF17365D"/>
      <name val="Carlito"/>
    </font>
    <font>
      <sz val="11"/>
      <name val="Carlito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4DFEC"/>
      </left>
      <right style="thin">
        <color rgb="FFE4DFEC"/>
      </right>
      <top style="thin">
        <color rgb="FFE4DFEC"/>
      </top>
      <bottom style="thin">
        <color rgb="FFE4DFEC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1" applyFont="1"/>
    <xf numFmtId="0" fontId="1" fillId="0" borderId="0" xfId="1" applyFont="1" applyAlignment="1">
      <alignment wrapText="1"/>
    </xf>
    <xf numFmtId="3" fontId="1" fillId="0" borderId="0" xfId="1" applyNumberFormat="1" applyFont="1" applyAlignment="1">
      <alignment wrapText="1"/>
    </xf>
    <xf numFmtId="0" fontId="1" fillId="0" borderId="1" xfId="1" applyFont="1" applyBorder="1" applyAlignment="1">
      <alignment wrapText="1"/>
    </xf>
    <xf numFmtId="3" fontId="1" fillId="0" borderId="1" xfId="1" applyNumberFormat="1" applyFont="1" applyBorder="1" applyAlignment="1">
      <alignment wrapText="1"/>
    </xf>
    <xf numFmtId="0" fontId="0" fillId="0" borderId="1" xfId="1" applyFont="1" applyBorder="1"/>
    <xf numFmtId="3" fontId="1" fillId="0" borderId="0" xfId="1" applyNumberFormat="1" applyFont="1"/>
    <xf numFmtId="0" fontId="1" fillId="0" borderId="2" xfId="1" applyFont="1" applyBorder="1"/>
    <xf numFmtId="0" fontId="0" fillId="0" borderId="2" xfId="1" applyFont="1" applyBorder="1"/>
    <xf numFmtId="3" fontId="0" fillId="0" borderId="2" xfId="1" applyNumberFormat="1" applyFont="1" applyBorder="1"/>
    <xf numFmtId="1" fontId="0" fillId="0" borderId="2" xfId="1" applyNumberFormat="1" applyFont="1" applyBorder="1"/>
    <xf numFmtId="0" fontId="1" fillId="0" borderId="3" xfId="1" applyFont="1" applyBorder="1" applyAlignment="1">
      <alignment wrapText="1"/>
    </xf>
    <xf numFmtId="0" fontId="0" fillId="0" borderId="3" xfId="1" applyFont="1" applyBorder="1"/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各類型有效案件補助</a:t>
            </a:r>
            <a:r>
              <a:rPr lang="en-US" altLang="zh-TW"/>
              <a:t>/</a:t>
            </a:r>
            <a:r>
              <a:rPr lang="zh-TW" altLang="en-US"/>
              <a:t>獎勵金額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案件數</c:v>
          </c:tx>
          <c:invertIfNegative val="1"/>
          <c:cat>
            <c:strRef>
              <c:f>類型統計!$A$2:$A$7</c:f>
              <c:strCache>
                <c:ptCount val="6"/>
                <c:pt idx="0">
                  <c:v>公有空間活化</c:v>
                </c:pt>
                <c:pt idx="1">
                  <c:v>利他行動168</c:v>
                </c:pt>
                <c:pt idx="2">
                  <c:v>多元徵件/會報工作會議</c:v>
                </c:pt>
                <c:pt idx="3">
                  <c:v>獎勵青年投入地方創生</c:v>
                </c:pt>
                <c:pt idx="4">
                  <c:v>鄉鎮公所提案</c:v>
                </c:pt>
                <c:pt idx="5">
                  <c:v>青年培力工作站</c:v>
                </c:pt>
              </c:strCache>
            </c:strRef>
          </c:cat>
          <c:val>
            <c:numRef>
              <c:f>類型統計!$B$2:$B$7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11</c:v>
                </c:pt>
                <c:pt idx="4">
                  <c:v>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5-134C-8CC5-A321F8E5EB8B}"/>
            </c:ext>
          </c:extLst>
        </c:ser>
        <c:ser>
          <c:idx val="1"/>
          <c:order val="1"/>
          <c:tx>
            <c:v>有效案件數</c:v>
          </c:tx>
          <c:invertIfNegative val="1"/>
          <c:cat>
            <c:strRef>
              <c:f>類型統計!$A$2:$A$7</c:f>
              <c:strCache>
                <c:ptCount val="6"/>
                <c:pt idx="0">
                  <c:v>公有空間活化</c:v>
                </c:pt>
                <c:pt idx="1">
                  <c:v>利他行動168</c:v>
                </c:pt>
                <c:pt idx="2">
                  <c:v>多元徵件/會報工作會議</c:v>
                </c:pt>
                <c:pt idx="3">
                  <c:v>獎勵青年投入地方創生</c:v>
                </c:pt>
                <c:pt idx="4">
                  <c:v>鄉鎮公所提案</c:v>
                </c:pt>
                <c:pt idx="5">
                  <c:v>青年培力工作站</c:v>
                </c:pt>
              </c:strCache>
            </c:strRef>
          </c:cat>
          <c:val>
            <c:numRef>
              <c:f>類型統計!$C$2:$C$7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11</c:v>
                </c:pt>
                <c:pt idx="4">
                  <c:v>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5-134C-8CC5-A321F8E5EB8B}"/>
            </c:ext>
          </c:extLst>
        </c:ser>
        <c:ser>
          <c:idx val="2"/>
          <c:order val="2"/>
          <c:tx>
            <c:v>補助/獎勵金額合計</c:v>
          </c:tx>
          <c:invertIfNegative val="1"/>
          <c:cat>
            <c:strRef>
              <c:f>類型統計!$A$2:$A$7</c:f>
              <c:strCache>
                <c:ptCount val="6"/>
                <c:pt idx="0">
                  <c:v>公有空間活化</c:v>
                </c:pt>
                <c:pt idx="1">
                  <c:v>利他行動168</c:v>
                </c:pt>
                <c:pt idx="2">
                  <c:v>多元徵件/會報工作會議</c:v>
                </c:pt>
                <c:pt idx="3">
                  <c:v>獎勵青年投入地方創生</c:v>
                </c:pt>
                <c:pt idx="4">
                  <c:v>鄉鎮公所提案</c:v>
                </c:pt>
                <c:pt idx="5">
                  <c:v>青年培力工作站</c:v>
                </c:pt>
              </c:strCache>
            </c:strRef>
          </c:cat>
          <c:val>
            <c:numRef>
              <c:f>類型統計!$D$2:$D$7</c:f>
              <c:numCache>
                <c:formatCode>General</c:formatCode>
                <c:ptCount val="6"/>
                <c:pt idx="0">
                  <c:v>3035660</c:v>
                </c:pt>
                <c:pt idx="1">
                  <c:v>1360000</c:v>
                </c:pt>
                <c:pt idx="2">
                  <c:v>12799290</c:v>
                </c:pt>
                <c:pt idx="3">
                  <c:v>3650000</c:v>
                </c:pt>
                <c:pt idx="4">
                  <c:v>90611245</c:v>
                </c:pt>
                <c:pt idx="5">
                  <c:v>33000000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5-134C-8CC5-A321F8E5E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CasesTable" displayName="AllCasesTable" ref="A1:Q32">
  <tableColumns count="17">
    <tableColumn id="1" xr3:uid="{00000000-0010-0000-0000-000001000000}" name="年度"/>
    <tableColumn id="2" xr3:uid="{00000000-0010-0000-0000-000002000000}" name="原年度/版本註記"/>
    <tableColumn id="3" xr3:uid="{00000000-0010-0000-0000-000003000000}" name="案件名稱"/>
    <tableColumn id="4" xr3:uid="{00000000-0010-0000-0000-000004000000}" name="鄉鎮"/>
    <tableColumn id="5" xr3:uid="{00000000-0010-0000-0000-000005000000}" name="計畫類型"/>
    <tableColumn id="6" xr3:uid="{00000000-0010-0000-0000-000006000000}" name="子類型/批次"/>
    <tableColumn id="7" xr3:uid="{00000000-0010-0000-0000-000007000000}" name="申請/執行單位"/>
    <tableColumn id="8" xr3:uid="{00000000-0010-0000-0000-000008000000}" name="狀態"/>
    <tableColumn id="9" xr3:uid="{00000000-0010-0000-0000-000009000000}" name="補助/獎勵金額"/>
    <tableColumn id="10" xr3:uid="{00000000-0010-0000-0000-00000A000000}" name="地方自籌"/>
    <tableColumn id="11" xr3:uid="{00000000-0010-0000-0000-00000B000000}" name="民間投資/自籌"/>
    <tableColumn id="12" xr3:uid="{00000000-0010-0000-0000-00000C000000}" name="提案/核定總經費"/>
    <tableColumn id="13" xr3:uid="{00000000-0010-0000-0000-00000D000000}" name="金額口徑"/>
    <tableColumn id="14" xr3:uid="{00000000-0010-0000-0000-00000E000000}" name="納入有效統計"/>
    <tableColumn id="15" xr3:uid="{00000000-0010-0000-0000-00000F000000}" name="納入嚴格核定統計"/>
    <tableColumn id="16" xr3:uid="{00000000-0010-0000-0000-000010000000}" name="查核依據"/>
    <tableColumn id="17" xr3:uid="{00000000-0010-0000-0000-000011000000}" name="來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ypeSummaryTable" displayName="TypeSummaryTable" ref="A1:F7">
  <tableColumns count="6">
    <tableColumn id="1" xr3:uid="{00000000-0010-0000-0100-000001000000}" name="計畫類型"/>
    <tableColumn id="2" xr3:uid="{00000000-0010-0000-0100-000002000000}" name="案件數"/>
    <tableColumn id="3" xr3:uid="{00000000-0010-0000-0100-000003000000}" name="有效案件數"/>
    <tableColumn id="4" xr3:uid="{00000000-0010-0000-0100-000004000000}" name="補助/獎勵金額合計"/>
    <tableColumn id="5" xr3:uid="{00000000-0010-0000-0100-000005000000}" name="提案/核定總經費合計"/>
    <tableColumn id="6" xr3:uid="{00000000-0010-0000-0100-000006000000}" name="備註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wnSummaryTable" displayName="TownSummaryTable" ref="A1:E14">
  <tableColumns count="5">
    <tableColumn id="1" xr3:uid="{00000000-0010-0000-0200-000001000000}" name="鄉鎮"/>
    <tableColumn id="2" xr3:uid="{00000000-0010-0000-0200-000002000000}" name="案件數"/>
    <tableColumn id="3" xr3:uid="{00000000-0010-0000-0200-000003000000}" name="有效案件數"/>
    <tableColumn id="4" xr3:uid="{00000000-0010-0000-0200-000004000000}" name="補助/獎勵金額合計"/>
    <tableColumn id="5" xr3:uid="{00000000-0010-0000-0200-000005000000}" name="提案/核定總經費合計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earSummaryTable" displayName="YearSummaryTable" ref="A1:E7">
  <tableColumns count="5">
    <tableColumn id="1" xr3:uid="{00000000-0010-0000-0300-000001000000}" name="年度"/>
    <tableColumn id="2" xr3:uid="{00000000-0010-0000-0300-000002000000}" name="案件數"/>
    <tableColumn id="3" xr3:uid="{00000000-0010-0000-0300-000003000000}" name="有效案件數"/>
    <tableColumn id="4" xr3:uid="{00000000-0010-0000-0300-000004000000}" name="補助/獎勵金額合計"/>
    <tableColumn id="5" xr3:uid="{00000000-0010-0000-0300-000005000000}" name="提案/核定總經費合計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NotesTable" displayName="MethodNotesTable" ref="A1:D10">
  <tableColumns count="4">
    <tableColumn id="1" xr3:uid="{00000000-0010-0000-0400-000001000000}" name="項目"/>
    <tableColumn id="2" xr3:uid="{00000000-0010-0000-0400-000002000000}" name="本表處理方式"/>
    <tableColumn id="3" xr3:uid="{00000000-0010-0000-0400-000003000000}" name="影響"/>
    <tableColumn id="4" xr3:uid="{00000000-0010-0000-0400-000004000000}" name="後續查核建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6A815E-B532-B042-BDA1-0E73D3FCE9B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e4295-cbe6-48d6-beb4-88033b2d5b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sqref="A1:H1"/>
    </sheetView>
  </sheetViews>
  <sheetFormatPr baseColWidth="10" defaultColWidth="8.83203125" defaultRowHeight="14"/>
  <cols>
    <col min="1" max="1" width="25.5" customWidth="1"/>
    <col min="2" max="2" width="16.6640625" customWidth="1"/>
    <col min="3" max="3" width="42.1640625" customWidth="1"/>
    <col min="5" max="5" width="6.6640625" customWidth="1"/>
    <col min="6" max="6" width="21.1640625" customWidth="1"/>
    <col min="7" max="7" width="11.1640625" customWidth="1"/>
    <col min="8" max="8" width="17.83203125" customWidth="1"/>
  </cols>
  <sheetData>
    <row r="1" spans="1:8" ht="25.5" customHeight="1">
      <c r="A1" s="14" t="s">
        <v>0</v>
      </c>
      <c r="B1" s="15"/>
      <c r="C1" s="15"/>
      <c r="D1" s="16"/>
      <c r="E1" s="16"/>
      <c r="F1" s="16"/>
      <c r="G1" s="16"/>
      <c r="H1" s="16"/>
    </row>
    <row r="3" spans="1:8" ht="15">
      <c r="A3" s="8" t="s">
        <v>1</v>
      </c>
      <c r="B3" s="8" t="s">
        <v>2</v>
      </c>
      <c r="C3" s="8" t="s">
        <v>3</v>
      </c>
      <c r="E3" s="8" t="s">
        <v>4</v>
      </c>
      <c r="F3" s="8" t="s">
        <v>5</v>
      </c>
      <c r="G3" s="8" t="s">
        <v>6</v>
      </c>
      <c r="H3" s="8" t="s">
        <v>7</v>
      </c>
    </row>
    <row r="4" spans="1:8">
      <c r="A4" s="9" t="s">
        <v>8</v>
      </c>
      <c r="B4" s="11">
        <f>COUNTA(全量案件明細!C2:C32)</f>
        <v>31</v>
      </c>
      <c r="C4" s="9" t="s">
        <v>9</v>
      </c>
      <c r="E4" s="9">
        <f t="shared" ref="E4:E9" si="0">ROW()-3</f>
        <v>1</v>
      </c>
      <c r="F4" s="9" t="s">
        <v>10</v>
      </c>
      <c r="G4" s="9">
        <v>11</v>
      </c>
      <c r="H4" s="10">
        <v>3650000</v>
      </c>
    </row>
    <row r="5" spans="1:8">
      <c r="A5" s="9" t="s">
        <v>6</v>
      </c>
      <c r="B5" s="11">
        <f>COUNTIF(全量案件明細!N2:N32,"是")</f>
        <v>30</v>
      </c>
      <c r="C5" s="9" t="s">
        <v>11</v>
      </c>
      <c r="E5" s="9">
        <f t="shared" si="0"/>
        <v>2</v>
      </c>
      <c r="F5" s="9" t="s">
        <v>12</v>
      </c>
      <c r="G5" s="9">
        <v>11</v>
      </c>
      <c r="H5" s="10">
        <v>33000000</v>
      </c>
    </row>
    <row r="6" spans="1:8">
      <c r="A6" s="9" t="s">
        <v>13</v>
      </c>
      <c r="B6" s="11">
        <v>13</v>
      </c>
      <c r="C6" s="9" t="s">
        <v>14</v>
      </c>
      <c r="E6" s="9">
        <f t="shared" si="0"/>
        <v>3</v>
      </c>
      <c r="F6" s="9" t="s">
        <v>15</v>
      </c>
      <c r="G6" s="9">
        <v>3</v>
      </c>
      <c r="H6" s="10">
        <v>90611245</v>
      </c>
    </row>
    <row r="7" spans="1:8">
      <c r="A7" s="9" t="s">
        <v>16</v>
      </c>
      <c r="B7" s="11">
        <v>6</v>
      </c>
      <c r="C7" s="9" t="s">
        <v>14</v>
      </c>
      <c r="E7" s="9">
        <f t="shared" si="0"/>
        <v>4</v>
      </c>
      <c r="F7" s="9" t="s">
        <v>17</v>
      </c>
      <c r="G7" s="9">
        <v>2</v>
      </c>
      <c r="H7" s="10">
        <v>1360000</v>
      </c>
    </row>
    <row r="8" spans="1:8">
      <c r="A8" s="9" t="s">
        <v>18</v>
      </c>
      <c r="B8" s="11">
        <f>SUMIF(全量案件明細!N2:N32,"是",全量案件明細!I2:I32)</f>
        <v>144456195</v>
      </c>
      <c r="C8" s="9" t="s">
        <v>19</v>
      </c>
      <c r="E8" s="9">
        <f t="shared" si="0"/>
        <v>5</v>
      </c>
      <c r="F8" s="9" t="s">
        <v>20</v>
      </c>
      <c r="G8" s="9">
        <v>2</v>
      </c>
      <c r="H8" s="10">
        <v>12799290</v>
      </c>
    </row>
    <row r="9" spans="1:8">
      <c r="A9" s="9" t="s">
        <v>21</v>
      </c>
      <c r="B9" s="10">
        <f>SUMIFS(全量案件明細!I2:I32,全量案件明細!N2:N32,"是",全量案件明細!O2:O32,"是")</f>
        <v>126552950</v>
      </c>
      <c r="C9" s="9" t="s">
        <v>22</v>
      </c>
      <c r="E9" s="9">
        <f t="shared" si="0"/>
        <v>6</v>
      </c>
      <c r="F9" s="9" t="s">
        <v>23</v>
      </c>
      <c r="G9" s="9">
        <v>1</v>
      </c>
      <c r="H9" s="10">
        <v>3035660</v>
      </c>
    </row>
    <row r="10" spans="1:8">
      <c r="A10" s="9" t="s">
        <v>24</v>
      </c>
      <c r="B10" s="10">
        <f>SUMIF(全量案件明細!N2:N32,"是",全量案件明細!L2:L32)</f>
        <v>192456946</v>
      </c>
      <c r="C10" s="9" t="s">
        <v>25</v>
      </c>
    </row>
    <row r="11" spans="1:8">
      <c r="A11" s="9" t="s">
        <v>26</v>
      </c>
      <c r="B11" s="10">
        <f>COUNTIF(全量案件明細!N2:N32,"否")</f>
        <v>1</v>
      </c>
      <c r="C11" s="9" t="s">
        <v>27</v>
      </c>
    </row>
    <row r="12" spans="1:8">
      <c r="A12" s="9" t="s">
        <v>28</v>
      </c>
      <c r="B12" s="11">
        <f>COUNTIFS(全量案件明細!E2:E32,"利他行動168",全量案件明細!N2:N32,"是")</f>
        <v>2</v>
      </c>
      <c r="C12" s="9" t="s">
        <v>29</v>
      </c>
    </row>
    <row r="13" spans="1:8">
      <c r="A13" s="9" t="s">
        <v>30</v>
      </c>
      <c r="B13" s="11">
        <f>COUNTIFS(全量案件明細!N2:N32,"是",全量案件明細!O2:O32,"否")</f>
        <v>3</v>
      </c>
      <c r="C13" s="9" t="s">
        <v>31</v>
      </c>
    </row>
  </sheetData>
  <mergeCells count="1">
    <mergeCell ref="A1:H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showGridLines="0" tabSelected="1" workbookViewId="0">
      <selection activeCell="H39" sqref="H39"/>
    </sheetView>
  </sheetViews>
  <sheetFormatPr baseColWidth="10" defaultColWidth="8.83203125" defaultRowHeight="14"/>
  <cols>
    <col min="1" max="1" width="6.5" customWidth="1"/>
    <col min="2" max="2" width="17.83203125" customWidth="1"/>
    <col min="3" max="3" width="28.83203125" customWidth="1"/>
    <col min="4" max="4" width="8.83203125" customWidth="1"/>
    <col min="5" max="6" width="16.1640625" customWidth="1"/>
    <col min="7" max="7" width="21.1640625" customWidth="1"/>
    <col min="8" max="8" width="10.5" customWidth="1"/>
    <col min="9" max="12" width="13.33203125" customWidth="1"/>
    <col min="13" max="13" width="25.5" customWidth="1"/>
    <col min="14" max="15" width="10" customWidth="1"/>
    <col min="16" max="17" width="34.5" customWidth="1"/>
  </cols>
  <sheetData>
    <row r="1" spans="1:17" ht="32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</row>
    <row r="2" spans="1:17">
      <c r="A2" s="6">
        <v>109</v>
      </c>
      <c r="B2" s="6" t="s">
        <v>49</v>
      </c>
      <c r="C2" s="6" t="s">
        <v>50</v>
      </c>
      <c r="D2" s="6" t="s">
        <v>51</v>
      </c>
      <c r="E2" s="6" t="s">
        <v>15</v>
      </c>
      <c r="F2" s="6" t="s">
        <v>52</v>
      </c>
      <c r="G2" s="6" t="s">
        <v>53</v>
      </c>
      <c r="H2" s="6" t="s">
        <v>54</v>
      </c>
      <c r="I2" s="6">
        <v>68208000</v>
      </c>
      <c r="J2" s="6">
        <v>5000000</v>
      </c>
      <c r="K2" s="6">
        <v>36192000</v>
      </c>
      <c r="L2" s="6">
        <v>109400000</v>
      </c>
      <c r="M2" s="6" t="s">
        <v>55</v>
      </c>
      <c r="N2" s="6" t="s">
        <v>56</v>
      </c>
      <c r="O2" s="6" t="s">
        <v>56</v>
      </c>
      <c r="P2" s="6" t="s">
        <v>57</v>
      </c>
      <c r="Q2" s="6" t="s">
        <v>58</v>
      </c>
    </row>
    <row r="3" spans="1:17">
      <c r="A3" s="6">
        <v>109</v>
      </c>
      <c r="B3" s="6" t="s">
        <v>59</v>
      </c>
      <c r="C3" s="6" t="s">
        <v>60</v>
      </c>
      <c r="D3" s="6" t="s">
        <v>61</v>
      </c>
      <c r="E3" s="6" t="s">
        <v>15</v>
      </c>
      <c r="F3" s="6" t="s">
        <v>52</v>
      </c>
      <c r="G3" s="6" t="s">
        <v>62</v>
      </c>
      <c r="H3" s="6" t="s">
        <v>54</v>
      </c>
      <c r="I3" s="6">
        <v>5860000</v>
      </c>
      <c r="J3" s="6">
        <v>0</v>
      </c>
      <c r="K3" s="6">
        <v>3000000</v>
      </c>
      <c r="L3" s="6">
        <v>8860000</v>
      </c>
      <c r="M3" s="6" t="s">
        <v>63</v>
      </c>
      <c r="N3" s="6" t="s">
        <v>56</v>
      </c>
      <c r="O3" s="6" t="s">
        <v>56</v>
      </c>
      <c r="P3" s="6" t="s">
        <v>64</v>
      </c>
      <c r="Q3" s="6" t="s">
        <v>65</v>
      </c>
    </row>
    <row r="4" spans="1:17">
      <c r="A4" s="6">
        <v>110</v>
      </c>
      <c r="B4" s="6"/>
      <c r="C4" s="6" t="s">
        <v>66</v>
      </c>
      <c r="D4" s="6" t="s">
        <v>67</v>
      </c>
      <c r="E4" s="6" t="s">
        <v>12</v>
      </c>
      <c r="F4" s="6" t="s">
        <v>68</v>
      </c>
      <c r="G4" s="6" t="s">
        <v>69</v>
      </c>
      <c r="H4" s="6" t="s">
        <v>70</v>
      </c>
      <c r="I4" s="6">
        <v>3000000</v>
      </c>
      <c r="J4" s="6">
        <v>0</v>
      </c>
      <c r="K4" s="6">
        <v>0</v>
      </c>
      <c r="L4" s="6">
        <v>3000000</v>
      </c>
      <c r="M4" s="6" t="s">
        <v>71</v>
      </c>
      <c r="N4" s="6" t="s">
        <v>56</v>
      </c>
      <c r="O4" s="6" t="s">
        <v>56</v>
      </c>
      <c r="P4" s="6" t="s">
        <v>72</v>
      </c>
      <c r="Q4" s="6" t="s">
        <v>73</v>
      </c>
    </row>
    <row r="5" spans="1:17">
      <c r="A5" s="6">
        <v>110</v>
      </c>
      <c r="B5" s="6"/>
      <c r="C5" s="6" t="s">
        <v>74</v>
      </c>
      <c r="D5" s="6" t="s">
        <v>75</v>
      </c>
      <c r="E5" s="6" t="s">
        <v>12</v>
      </c>
      <c r="F5" s="6" t="s">
        <v>68</v>
      </c>
      <c r="G5" s="6" t="s">
        <v>76</v>
      </c>
      <c r="H5" s="6" t="s">
        <v>70</v>
      </c>
      <c r="I5" s="6">
        <v>3000000</v>
      </c>
      <c r="J5" s="6">
        <v>0</v>
      </c>
      <c r="K5" s="6">
        <v>0</v>
      </c>
      <c r="L5" s="6">
        <v>3000000</v>
      </c>
      <c r="M5" s="6" t="s">
        <v>71</v>
      </c>
      <c r="N5" s="6" t="s">
        <v>56</v>
      </c>
      <c r="O5" s="6" t="s">
        <v>56</v>
      </c>
      <c r="P5" s="6" t="s">
        <v>77</v>
      </c>
      <c r="Q5" s="6" t="s">
        <v>78</v>
      </c>
    </row>
    <row r="6" spans="1:17">
      <c r="A6" s="6">
        <v>110</v>
      </c>
      <c r="B6" s="6"/>
      <c r="C6" s="6" t="s">
        <v>79</v>
      </c>
      <c r="D6" s="6" t="s">
        <v>51</v>
      </c>
      <c r="E6" s="6" t="s">
        <v>12</v>
      </c>
      <c r="F6" s="6" t="s">
        <v>68</v>
      </c>
      <c r="G6" s="6" t="s">
        <v>80</v>
      </c>
      <c r="H6" s="6" t="s">
        <v>70</v>
      </c>
      <c r="I6" s="6">
        <v>3000000</v>
      </c>
      <c r="J6" s="6">
        <v>0</v>
      </c>
      <c r="K6" s="6">
        <v>0</v>
      </c>
      <c r="L6" s="6">
        <v>3000000</v>
      </c>
      <c r="M6" s="6" t="s">
        <v>71</v>
      </c>
      <c r="N6" s="6" t="s">
        <v>56</v>
      </c>
      <c r="O6" s="6" t="s">
        <v>56</v>
      </c>
      <c r="P6" s="6" t="s">
        <v>77</v>
      </c>
      <c r="Q6" s="6" t="s">
        <v>78</v>
      </c>
    </row>
    <row r="7" spans="1:17">
      <c r="A7" s="6">
        <v>110</v>
      </c>
      <c r="B7" s="6"/>
      <c r="C7" s="6" t="s">
        <v>81</v>
      </c>
      <c r="D7" s="6" t="s">
        <v>82</v>
      </c>
      <c r="E7" s="6" t="s">
        <v>23</v>
      </c>
      <c r="F7" s="6" t="s">
        <v>83</v>
      </c>
      <c r="G7" s="6" t="s">
        <v>84</v>
      </c>
      <c r="H7" s="6" t="s">
        <v>70</v>
      </c>
      <c r="I7" s="6">
        <v>3035660</v>
      </c>
      <c r="J7" s="6">
        <v>0</v>
      </c>
      <c r="K7" s="6">
        <v>0</v>
      </c>
      <c r="L7" s="6">
        <v>3035660</v>
      </c>
      <c r="M7" s="6" t="s">
        <v>85</v>
      </c>
      <c r="N7" s="6" t="s">
        <v>56</v>
      </c>
      <c r="O7" s="6" t="s">
        <v>56</v>
      </c>
      <c r="P7" s="6" t="s">
        <v>86</v>
      </c>
      <c r="Q7" s="6" t="s">
        <v>73</v>
      </c>
    </row>
    <row r="8" spans="1:17">
      <c r="A8" s="6">
        <v>112</v>
      </c>
      <c r="B8" s="6"/>
      <c r="C8" s="6" t="s">
        <v>87</v>
      </c>
      <c r="D8" s="6" t="s">
        <v>88</v>
      </c>
      <c r="E8" s="6" t="s">
        <v>10</v>
      </c>
      <c r="F8" s="6" t="s">
        <v>89</v>
      </c>
      <c r="G8" s="6" t="s">
        <v>90</v>
      </c>
      <c r="H8" s="6" t="s">
        <v>91</v>
      </c>
      <c r="I8" s="6">
        <v>300000</v>
      </c>
      <c r="J8" s="6">
        <v>0</v>
      </c>
      <c r="K8" s="6">
        <v>0</v>
      </c>
      <c r="L8" s="6">
        <v>300000</v>
      </c>
      <c r="M8" s="6" t="s">
        <v>92</v>
      </c>
      <c r="N8" s="6" t="s">
        <v>56</v>
      </c>
      <c r="O8" s="6" t="s">
        <v>56</v>
      </c>
      <c r="P8" s="6" t="s">
        <v>93</v>
      </c>
      <c r="Q8" s="6" t="s">
        <v>94</v>
      </c>
    </row>
    <row r="9" spans="1:17">
      <c r="A9" s="6">
        <v>112</v>
      </c>
      <c r="B9" s="6"/>
      <c r="C9" s="6" t="s">
        <v>95</v>
      </c>
      <c r="D9" s="6" t="s">
        <v>96</v>
      </c>
      <c r="E9" s="6" t="s">
        <v>10</v>
      </c>
      <c r="F9" s="6" t="s">
        <v>89</v>
      </c>
      <c r="G9" s="6" t="s">
        <v>90</v>
      </c>
      <c r="H9" s="6" t="s">
        <v>91</v>
      </c>
      <c r="I9" s="6">
        <v>300000</v>
      </c>
      <c r="J9" s="6">
        <v>0</v>
      </c>
      <c r="K9" s="6">
        <v>0</v>
      </c>
      <c r="L9" s="6">
        <v>300000</v>
      </c>
      <c r="M9" s="6" t="s">
        <v>92</v>
      </c>
      <c r="N9" s="6" t="s">
        <v>56</v>
      </c>
      <c r="O9" s="6" t="s">
        <v>56</v>
      </c>
      <c r="P9" s="6" t="s">
        <v>97</v>
      </c>
      <c r="Q9" s="6" t="s">
        <v>94</v>
      </c>
    </row>
    <row r="10" spans="1:17">
      <c r="A10" s="6">
        <v>112</v>
      </c>
      <c r="B10" s="6"/>
      <c r="C10" s="6" t="s">
        <v>98</v>
      </c>
      <c r="D10" s="6" t="s">
        <v>99</v>
      </c>
      <c r="E10" s="6" t="s">
        <v>10</v>
      </c>
      <c r="F10" s="6" t="s">
        <v>89</v>
      </c>
      <c r="G10" s="6" t="s">
        <v>90</v>
      </c>
      <c r="H10" s="6" t="s">
        <v>91</v>
      </c>
      <c r="I10" s="6">
        <v>300000</v>
      </c>
      <c r="J10" s="6">
        <v>0</v>
      </c>
      <c r="K10" s="6">
        <v>0</v>
      </c>
      <c r="L10" s="6">
        <v>300000</v>
      </c>
      <c r="M10" s="6" t="s">
        <v>92</v>
      </c>
      <c r="N10" s="6" t="s">
        <v>56</v>
      </c>
      <c r="O10" s="6" t="s">
        <v>56</v>
      </c>
      <c r="P10" s="6" t="s">
        <v>97</v>
      </c>
      <c r="Q10" s="6" t="s">
        <v>94</v>
      </c>
    </row>
    <row r="11" spans="1:17">
      <c r="A11" s="6">
        <v>112</v>
      </c>
      <c r="B11" s="6"/>
      <c r="C11" s="6" t="s">
        <v>100</v>
      </c>
      <c r="D11" s="6" t="s">
        <v>101</v>
      </c>
      <c r="E11" s="6" t="s">
        <v>10</v>
      </c>
      <c r="F11" s="6" t="s">
        <v>89</v>
      </c>
      <c r="G11" s="6" t="s">
        <v>90</v>
      </c>
      <c r="H11" s="6" t="s">
        <v>91</v>
      </c>
      <c r="I11" s="6">
        <v>300000</v>
      </c>
      <c r="J11" s="6">
        <v>0</v>
      </c>
      <c r="K11" s="6">
        <v>0</v>
      </c>
      <c r="L11" s="6">
        <v>300000</v>
      </c>
      <c r="M11" s="6" t="s">
        <v>92</v>
      </c>
      <c r="N11" s="6" t="s">
        <v>56</v>
      </c>
      <c r="O11" s="6" t="s">
        <v>56</v>
      </c>
      <c r="P11" s="6" t="s">
        <v>97</v>
      </c>
      <c r="Q11" s="6" t="s">
        <v>94</v>
      </c>
    </row>
    <row r="12" spans="1:17">
      <c r="A12" s="6">
        <v>112</v>
      </c>
      <c r="B12" s="6"/>
      <c r="C12" s="6" t="s">
        <v>102</v>
      </c>
      <c r="D12" s="6" t="s">
        <v>101</v>
      </c>
      <c r="E12" s="6" t="s">
        <v>23</v>
      </c>
      <c r="F12" s="6" t="s">
        <v>83</v>
      </c>
      <c r="G12" s="6" t="s">
        <v>103</v>
      </c>
      <c r="H12" s="6" t="s">
        <v>104</v>
      </c>
      <c r="I12" s="6">
        <v>2130000</v>
      </c>
      <c r="J12" s="6">
        <v>540000</v>
      </c>
      <c r="K12" s="6">
        <v>0</v>
      </c>
      <c r="L12" s="6">
        <v>2670000</v>
      </c>
      <c r="M12" s="6" t="s">
        <v>105</v>
      </c>
      <c r="N12" s="6" t="s">
        <v>106</v>
      </c>
      <c r="O12" s="6" t="s">
        <v>56</v>
      </c>
      <c r="P12" s="6" t="s">
        <v>107</v>
      </c>
      <c r="Q12" s="6" t="s">
        <v>73</v>
      </c>
    </row>
    <row r="13" spans="1:17">
      <c r="A13" s="6">
        <v>113</v>
      </c>
      <c r="B13" s="6"/>
      <c r="C13" s="6" t="s">
        <v>108</v>
      </c>
      <c r="D13" s="6" t="s">
        <v>67</v>
      </c>
      <c r="E13" s="6" t="s">
        <v>12</v>
      </c>
      <c r="F13" s="6" t="s">
        <v>109</v>
      </c>
      <c r="G13" s="6" t="s">
        <v>110</v>
      </c>
      <c r="H13" s="6" t="s">
        <v>70</v>
      </c>
      <c r="I13" s="6">
        <v>3000000</v>
      </c>
      <c r="J13" s="6">
        <v>0</v>
      </c>
      <c r="K13" s="6">
        <v>0</v>
      </c>
      <c r="L13" s="6">
        <v>3000000</v>
      </c>
      <c r="M13" s="6" t="s">
        <v>111</v>
      </c>
      <c r="N13" s="6" t="s">
        <v>56</v>
      </c>
      <c r="O13" s="6" t="s">
        <v>56</v>
      </c>
      <c r="P13" s="6" t="s">
        <v>112</v>
      </c>
      <c r="Q13" s="6" t="s">
        <v>94</v>
      </c>
    </row>
    <row r="14" spans="1:17">
      <c r="A14" s="6">
        <v>113</v>
      </c>
      <c r="B14" s="6" t="s">
        <v>113</v>
      </c>
      <c r="C14" s="6" t="s">
        <v>114</v>
      </c>
      <c r="D14" s="6" t="s">
        <v>99</v>
      </c>
      <c r="E14" s="6" t="s">
        <v>12</v>
      </c>
      <c r="F14" s="6" t="s">
        <v>109</v>
      </c>
      <c r="G14" s="6" t="s">
        <v>115</v>
      </c>
      <c r="H14" s="6" t="s">
        <v>70</v>
      </c>
      <c r="I14" s="6">
        <v>3000000</v>
      </c>
      <c r="J14" s="6">
        <v>0</v>
      </c>
      <c r="K14" s="6">
        <v>0</v>
      </c>
      <c r="L14" s="6">
        <v>3000000</v>
      </c>
      <c r="M14" s="6" t="s">
        <v>111</v>
      </c>
      <c r="N14" s="6" t="s">
        <v>56</v>
      </c>
      <c r="O14" s="6" t="s">
        <v>56</v>
      </c>
      <c r="P14" s="6" t="s">
        <v>116</v>
      </c>
      <c r="Q14" s="6" t="s">
        <v>94</v>
      </c>
    </row>
    <row r="15" spans="1:17">
      <c r="A15" s="6">
        <v>113</v>
      </c>
      <c r="B15" s="6"/>
      <c r="C15" s="6" t="s">
        <v>117</v>
      </c>
      <c r="D15" s="6" t="s">
        <v>96</v>
      </c>
      <c r="E15" s="6" t="s">
        <v>12</v>
      </c>
      <c r="F15" s="6" t="s">
        <v>109</v>
      </c>
      <c r="G15" s="6" t="s">
        <v>118</v>
      </c>
      <c r="H15" s="6" t="s">
        <v>70</v>
      </c>
      <c r="I15" s="6">
        <v>3000000</v>
      </c>
      <c r="J15" s="6">
        <v>0</v>
      </c>
      <c r="K15" s="6">
        <v>0</v>
      </c>
      <c r="L15" s="6">
        <v>3000000</v>
      </c>
      <c r="M15" s="6" t="s">
        <v>111</v>
      </c>
      <c r="N15" s="6" t="s">
        <v>56</v>
      </c>
      <c r="O15" s="6" t="s">
        <v>56</v>
      </c>
      <c r="P15" s="6" t="s">
        <v>119</v>
      </c>
      <c r="Q15" s="6" t="s">
        <v>120</v>
      </c>
    </row>
    <row r="16" spans="1:17">
      <c r="A16" s="6">
        <v>113</v>
      </c>
      <c r="B16" s="6" t="s">
        <v>121</v>
      </c>
      <c r="C16" s="6" t="s">
        <v>122</v>
      </c>
      <c r="D16" s="6" t="s">
        <v>75</v>
      </c>
      <c r="E16" s="6" t="s">
        <v>12</v>
      </c>
      <c r="F16" s="6" t="s">
        <v>123</v>
      </c>
      <c r="G16" s="6" t="s">
        <v>76</v>
      </c>
      <c r="H16" s="6" t="s">
        <v>124</v>
      </c>
      <c r="I16" s="6">
        <v>3000000</v>
      </c>
      <c r="J16" s="6">
        <v>0</v>
      </c>
      <c r="K16" s="6">
        <v>0</v>
      </c>
      <c r="L16" s="6">
        <v>3000000</v>
      </c>
      <c r="M16" s="6" t="s">
        <v>125</v>
      </c>
      <c r="N16" s="6" t="s">
        <v>56</v>
      </c>
      <c r="O16" s="6" t="s">
        <v>56</v>
      </c>
      <c r="P16" s="6" t="s">
        <v>126</v>
      </c>
      <c r="Q16" s="6" t="s">
        <v>127</v>
      </c>
    </row>
    <row r="17" spans="1:17">
      <c r="A17" s="6">
        <v>113</v>
      </c>
      <c r="B17" s="6"/>
      <c r="C17" s="6" t="s">
        <v>128</v>
      </c>
      <c r="D17" s="6" t="s">
        <v>129</v>
      </c>
      <c r="E17" s="6" t="s">
        <v>10</v>
      </c>
      <c r="F17" s="6" t="s">
        <v>130</v>
      </c>
      <c r="G17" s="6" t="s">
        <v>90</v>
      </c>
      <c r="H17" s="6" t="s">
        <v>91</v>
      </c>
      <c r="I17" s="6">
        <v>350000</v>
      </c>
      <c r="J17" s="6">
        <v>0</v>
      </c>
      <c r="K17" s="6">
        <v>0</v>
      </c>
      <c r="L17" s="6">
        <v>350000</v>
      </c>
      <c r="M17" s="6" t="s">
        <v>131</v>
      </c>
      <c r="N17" s="6" t="s">
        <v>56</v>
      </c>
      <c r="O17" s="6" t="s">
        <v>56</v>
      </c>
      <c r="P17" s="6" t="s">
        <v>132</v>
      </c>
      <c r="Q17" s="6" t="s">
        <v>94</v>
      </c>
    </row>
    <row r="18" spans="1:17">
      <c r="A18" s="6">
        <v>113</v>
      </c>
      <c r="B18" s="6"/>
      <c r="C18" s="6" t="s">
        <v>133</v>
      </c>
      <c r="D18" s="6" t="s">
        <v>99</v>
      </c>
      <c r="E18" s="6" t="s">
        <v>10</v>
      </c>
      <c r="F18" s="6" t="s">
        <v>130</v>
      </c>
      <c r="G18" s="6" t="s">
        <v>90</v>
      </c>
      <c r="H18" s="6" t="s">
        <v>91</v>
      </c>
      <c r="I18" s="6">
        <v>350000</v>
      </c>
      <c r="J18" s="6">
        <v>0</v>
      </c>
      <c r="K18" s="6">
        <v>0</v>
      </c>
      <c r="L18" s="6">
        <v>350000</v>
      </c>
      <c r="M18" s="6" t="s">
        <v>131</v>
      </c>
      <c r="N18" s="6" t="s">
        <v>56</v>
      </c>
      <c r="O18" s="6" t="s">
        <v>56</v>
      </c>
      <c r="P18" s="6" t="s">
        <v>134</v>
      </c>
      <c r="Q18" s="6" t="s">
        <v>94</v>
      </c>
    </row>
    <row r="19" spans="1:17">
      <c r="A19" s="6">
        <v>113</v>
      </c>
      <c r="B19" s="6"/>
      <c r="C19" s="6" t="s">
        <v>135</v>
      </c>
      <c r="D19" s="6" t="s">
        <v>101</v>
      </c>
      <c r="E19" s="6" t="s">
        <v>10</v>
      </c>
      <c r="F19" s="6" t="s">
        <v>130</v>
      </c>
      <c r="G19" s="6" t="s">
        <v>90</v>
      </c>
      <c r="H19" s="6" t="s">
        <v>91</v>
      </c>
      <c r="I19" s="6">
        <v>350000</v>
      </c>
      <c r="J19" s="6">
        <v>0</v>
      </c>
      <c r="K19" s="6">
        <v>0</v>
      </c>
      <c r="L19" s="6">
        <v>350000</v>
      </c>
      <c r="M19" s="6" t="s">
        <v>131</v>
      </c>
      <c r="N19" s="6" t="s">
        <v>56</v>
      </c>
      <c r="O19" s="6" t="s">
        <v>56</v>
      </c>
      <c r="P19" s="6" t="s">
        <v>134</v>
      </c>
      <c r="Q19" s="6" t="s">
        <v>94</v>
      </c>
    </row>
    <row r="20" spans="1:17">
      <c r="A20" s="6">
        <v>114</v>
      </c>
      <c r="B20" s="6"/>
      <c r="C20" s="6" t="s">
        <v>136</v>
      </c>
      <c r="D20" s="6" t="s">
        <v>129</v>
      </c>
      <c r="E20" s="6" t="s">
        <v>12</v>
      </c>
      <c r="F20" s="6" t="s">
        <v>137</v>
      </c>
      <c r="G20" s="6" t="s">
        <v>138</v>
      </c>
      <c r="H20" s="6" t="s">
        <v>70</v>
      </c>
      <c r="I20" s="6">
        <v>3000000</v>
      </c>
      <c r="J20" s="6">
        <v>0</v>
      </c>
      <c r="K20" s="6">
        <v>0</v>
      </c>
      <c r="L20" s="6">
        <v>3000000</v>
      </c>
      <c r="M20" s="6" t="s">
        <v>139</v>
      </c>
      <c r="N20" s="6" t="s">
        <v>56</v>
      </c>
      <c r="O20" s="6" t="s">
        <v>56</v>
      </c>
      <c r="P20" s="6" t="s">
        <v>140</v>
      </c>
      <c r="Q20" s="6" t="s">
        <v>94</v>
      </c>
    </row>
    <row r="21" spans="1:17">
      <c r="A21" s="6">
        <v>114</v>
      </c>
      <c r="B21" s="6" t="s">
        <v>141</v>
      </c>
      <c r="C21" s="6" t="s">
        <v>117</v>
      </c>
      <c r="D21" s="6" t="s">
        <v>96</v>
      </c>
      <c r="E21" s="6" t="s">
        <v>12</v>
      </c>
      <c r="F21" s="6" t="s">
        <v>142</v>
      </c>
      <c r="G21" s="6" t="s">
        <v>143</v>
      </c>
      <c r="H21" s="6" t="s">
        <v>124</v>
      </c>
      <c r="I21" s="6">
        <v>3000000</v>
      </c>
      <c r="J21" s="6">
        <v>0</v>
      </c>
      <c r="K21" s="6">
        <v>0</v>
      </c>
      <c r="L21" s="6">
        <v>3000000</v>
      </c>
      <c r="M21" s="6" t="s">
        <v>144</v>
      </c>
      <c r="N21" s="6" t="s">
        <v>56</v>
      </c>
      <c r="O21" s="6" t="s">
        <v>56</v>
      </c>
      <c r="P21" s="6" t="s">
        <v>145</v>
      </c>
      <c r="Q21" s="6" t="s">
        <v>127</v>
      </c>
    </row>
    <row r="22" spans="1:17">
      <c r="A22" s="6">
        <v>114</v>
      </c>
      <c r="B22" s="6"/>
      <c r="C22" s="6" t="s">
        <v>146</v>
      </c>
      <c r="D22" s="6" t="s">
        <v>96</v>
      </c>
      <c r="E22" s="6" t="s">
        <v>10</v>
      </c>
      <c r="F22" s="6" t="s">
        <v>147</v>
      </c>
      <c r="G22" s="6" t="s">
        <v>90</v>
      </c>
      <c r="H22" s="6" t="s">
        <v>91</v>
      </c>
      <c r="I22" s="6">
        <v>350000</v>
      </c>
      <c r="J22" s="6">
        <v>0</v>
      </c>
      <c r="K22" s="6">
        <v>0</v>
      </c>
      <c r="L22" s="6">
        <v>350000</v>
      </c>
      <c r="M22" s="6" t="s">
        <v>148</v>
      </c>
      <c r="N22" s="6" t="s">
        <v>56</v>
      </c>
      <c r="O22" s="6" t="s">
        <v>56</v>
      </c>
      <c r="P22" s="6" t="s">
        <v>149</v>
      </c>
      <c r="Q22" s="6" t="s">
        <v>94</v>
      </c>
    </row>
    <row r="23" spans="1:17">
      <c r="A23" s="6">
        <v>114</v>
      </c>
      <c r="B23" s="6"/>
      <c r="C23" s="6" t="s">
        <v>150</v>
      </c>
      <c r="D23" s="6" t="s">
        <v>51</v>
      </c>
      <c r="E23" s="6" t="s">
        <v>20</v>
      </c>
      <c r="F23" s="6" t="s">
        <v>151</v>
      </c>
      <c r="G23" s="6" t="s">
        <v>152</v>
      </c>
      <c r="H23" s="6" t="s">
        <v>153</v>
      </c>
      <c r="I23" s="6">
        <v>5456290</v>
      </c>
      <c r="J23" s="6">
        <v>0</v>
      </c>
      <c r="K23" s="6">
        <v>0</v>
      </c>
      <c r="L23" s="6">
        <v>5456290</v>
      </c>
      <c r="M23" s="6" t="s">
        <v>154</v>
      </c>
      <c r="N23" s="6" t="s">
        <v>56</v>
      </c>
      <c r="O23" s="6" t="s">
        <v>56</v>
      </c>
      <c r="P23" s="6" t="s">
        <v>155</v>
      </c>
      <c r="Q23" s="6" t="s">
        <v>156</v>
      </c>
    </row>
    <row r="24" spans="1:17">
      <c r="A24" s="6">
        <v>114</v>
      </c>
      <c r="B24" s="6"/>
      <c r="C24" s="6" t="s">
        <v>157</v>
      </c>
      <c r="D24" s="6" t="s">
        <v>158</v>
      </c>
      <c r="E24" s="6" t="s">
        <v>20</v>
      </c>
      <c r="F24" s="6" t="s">
        <v>159</v>
      </c>
      <c r="G24" s="6" t="s">
        <v>160</v>
      </c>
      <c r="H24" s="6" t="s">
        <v>153</v>
      </c>
      <c r="I24" s="6">
        <v>7343000</v>
      </c>
      <c r="J24" s="6">
        <v>0</v>
      </c>
      <c r="K24" s="6">
        <v>2186000</v>
      </c>
      <c r="L24" s="6">
        <v>10030000</v>
      </c>
      <c r="M24" s="6" t="s">
        <v>161</v>
      </c>
      <c r="N24" s="6" t="s">
        <v>56</v>
      </c>
      <c r="O24" s="6" t="s">
        <v>56</v>
      </c>
      <c r="P24" s="6" t="s">
        <v>162</v>
      </c>
      <c r="Q24" s="6" t="s">
        <v>163</v>
      </c>
    </row>
    <row r="25" spans="1:17">
      <c r="A25" s="6">
        <v>115</v>
      </c>
      <c r="B25" s="6"/>
      <c r="C25" s="6" t="s">
        <v>108</v>
      </c>
      <c r="D25" s="6" t="s">
        <v>67</v>
      </c>
      <c r="E25" s="6" t="s">
        <v>12</v>
      </c>
      <c r="F25" s="6" t="s">
        <v>164</v>
      </c>
      <c r="G25" s="6" t="s">
        <v>110</v>
      </c>
      <c r="H25" s="6" t="s">
        <v>70</v>
      </c>
      <c r="I25" s="6">
        <v>3000000</v>
      </c>
      <c r="J25" s="6">
        <v>0</v>
      </c>
      <c r="K25" s="6">
        <v>0</v>
      </c>
      <c r="L25" s="6">
        <v>3000000</v>
      </c>
      <c r="M25" s="6" t="s">
        <v>165</v>
      </c>
      <c r="N25" s="6" t="s">
        <v>56</v>
      </c>
      <c r="O25" s="6" t="s">
        <v>56</v>
      </c>
      <c r="P25" s="6" t="s">
        <v>166</v>
      </c>
      <c r="Q25" s="6" t="s">
        <v>167</v>
      </c>
    </row>
    <row r="26" spans="1:17">
      <c r="A26" s="6">
        <v>115</v>
      </c>
      <c r="B26" s="6"/>
      <c r="C26" s="6" t="s">
        <v>168</v>
      </c>
      <c r="D26" s="6" t="s">
        <v>96</v>
      </c>
      <c r="E26" s="6" t="s">
        <v>12</v>
      </c>
      <c r="F26" s="6" t="s">
        <v>164</v>
      </c>
      <c r="G26" s="6" t="s">
        <v>143</v>
      </c>
      <c r="H26" s="6" t="s">
        <v>70</v>
      </c>
      <c r="I26" s="6">
        <v>3000000</v>
      </c>
      <c r="J26" s="6">
        <v>0</v>
      </c>
      <c r="K26" s="6">
        <v>0</v>
      </c>
      <c r="L26" s="6">
        <v>3000000</v>
      </c>
      <c r="M26" s="6" t="s">
        <v>165</v>
      </c>
      <c r="N26" s="6" t="s">
        <v>56</v>
      </c>
      <c r="O26" s="6" t="s">
        <v>56</v>
      </c>
      <c r="P26" s="6" t="s">
        <v>166</v>
      </c>
      <c r="Q26" s="6" t="s">
        <v>167</v>
      </c>
    </row>
    <row r="27" spans="1:17">
      <c r="A27" s="6">
        <v>115</v>
      </c>
      <c r="B27" s="6"/>
      <c r="C27" s="6" t="s">
        <v>169</v>
      </c>
      <c r="D27" s="6" t="s">
        <v>99</v>
      </c>
      <c r="E27" s="6" t="s">
        <v>17</v>
      </c>
      <c r="F27" s="6" t="s">
        <v>170</v>
      </c>
      <c r="G27" s="6" t="s">
        <v>171</v>
      </c>
      <c r="H27" s="6" t="s">
        <v>91</v>
      </c>
      <c r="I27" s="6">
        <v>680000</v>
      </c>
      <c r="J27" s="6">
        <v>0</v>
      </c>
      <c r="K27" s="6">
        <v>0</v>
      </c>
      <c r="L27" s="6">
        <v>680000</v>
      </c>
      <c r="M27" s="6" t="s">
        <v>172</v>
      </c>
      <c r="N27" s="6" t="s">
        <v>56</v>
      </c>
      <c r="O27" s="6" t="s">
        <v>106</v>
      </c>
      <c r="P27" s="6" t="s">
        <v>173</v>
      </c>
      <c r="Q27" s="6" t="s">
        <v>174</v>
      </c>
    </row>
    <row r="28" spans="1:17">
      <c r="A28" s="6">
        <v>115</v>
      </c>
      <c r="B28" s="6"/>
      <c r="C28" s="6" t="s">
        <v>175</v>
      </c>
      <c r="D28" s="6" t="s">
        <v>61</v>
      </c>
      <c r="E28" s="6" t="s">
        <v>17</v>
      </c>
      <c r="F28" s="6" t="s">
        <v>170</v>
      </c>
      <c r="G28" s="6" t="s">
        <v>176</v>
      </c>
      <c r="H28" s="6" t="s">
        <v>91</v>
      </c>
      <c r="I28" s="6">
        <v>680000</v>
      </c>
      <c r="J28" s="6">
        <v>0</v>
      </c>
      <c r="K28" s="6">
        <v>0</v>
      </c>
      <c r="L28" s="6">
        <v>680000</v>
      </c>
      <c r="M28" s="6" t="s">
        <v>172</v>
      </c>
      <c r="N28" s="6" t="s">
        <v>56</v>
      </c>
      <c r="O28" s="6" t="s">
        <v>106</v>
      </c>
      <c r="P28" s="6" t="s">
        <v>173</v>
      </c>
      <c r="Q28" s="6" t="s">
        <v>174</v>
      </c>
    </row>
    <row r="29" spans="1:17">
      <c r="A29" s="6">
        <v>115</v>
      </c>
      <c r="B29" s="6"/>
      <c r="C29" s="6" t="s">
        <v>177</v>
      </c>
      <c r="D29" s="6" t="s">
        <v>129</v>
      </c>
      <c r="E29" s="6" t="s">
        <v>10</v>
      </c>
      <c r="F29" s="6" t="s">
        <v>178</v>
      </c>
      <c r="G29" s="6" t="s">
        <v>90</v>
      </c>
      <c r="H29" s="6" t="s">
        <v>91</v>
      </c>
      <c r="I29" s="6">
        <v>350000</v>
      </c>
      <c r="J29" s="6">
        <v>0</v>
      </c>
      <c r="K29" s="6">
        <v>0</v>
      </c>
      <c r="L29" s="6">
        <v>350000</v>
      </c>
      <c r="M29" s="6" t="s">
        <v>179</v>
      </c>
      <c r="N29" s="6" t="s">
        <v>56</v>
      </c>
      <c r="O29" s="6" t="s">
        <v>56</v>
      </c>
      <c r="P29" s="6" t="s">
        <v>180</v>
      </c>
      <c r="Q29" s="6" t="s">
        <v>174</v>
      </c>
    </row>
    <row r="30" spans="1:17">
      <c r="A30" s="6">
        <v>115</v>
      </c>
      <c r="B30" s="6"/>
      <c r="C30" s="6" t="s">
        <v>181</v>
      </c>
      <c r="D30" s="6" t="s">
        <v>99</v>
      </c>
      <c r="E30" s="6" t="s">
        <v>10</v>
      </c>
      <c r="F30" s="6" t="s">
        <v>178</v>
      </c>
      <c r="G30" s="6" t="s">
        <v>90</v>
      </c>
      <c r="H30" s="6" t="s">
        <v>91</v>
      </c>
      <c r="I30" s="6">
        <v>350000</v>
      </c>
      <c r="J30" s="6">
        <v>0</v>
      </c>
      <c r="K30" s="6">
        <v>0</v>
      </c>
      <c r="L30" s="6">
        <v>350000</v>
      </c>
      <c r="M30" s="6" t="s">
        <v>179</v>
      </c>
      <c r="N30" s="6" t="s">
        <v>56</v>
      </c>
      <c r="O30" s="6" t="s">
        <v>56</v>
      </c>
      <c r="P30" s="6" t="s">
        <v>180</v>
      </c>
      <c r="Q30" s="6" t="s">
        <v>174</v>
      </c>
    </row>
    <row r="31" spans="1:17">
      <c r="A31" s="6">
        <v>115</v>
      </c>
      <c r="B31" s="6"/>
      <c r="C31" s="6" t="s">
        <v>182</v>
      </c>
      <c r="D31" s="6" t="s">
        <v>183</v>
      </c>
      <c r="E31" s="6" t="s">
        <v>10</v>
      </c>
      <c r="F31" s="6" t="s">
        <v>178</v>
      </c>
      <c r="G31" s="6" t="s">
        <v>90</v>
      </c>
      <c r="H31" s="6" t="s">
        <v>91</v>
      </c>
      <c r="I31" s="6">
        <v>350000</v>
      </c>
      <c r="J31" s="6">
        <v>0</v>
      </c>
      <c r="K31" s="6">
        <v>0</v>
      </c>
      <c r="L31" s="6">
        <v>350000</v>
      </c>
      <c r="M31" s="6" t="s">
        <v>179</v>
      </c>
      <c r="N31" s="6" t="s">
        <v>56</v>
      </c>
      <c r="O31" s="6" t="s">
        <v>56</v>
      </c>
      <c r="P31" s="6" t="s">
        <v>180</v>
      </c>
      <c r="Q31" s="6" t="s">
        <v>174</v>
      </c>
    </row>
    <row r="32" spans="1:17">
      <c r="A32" s="6">
        <v>115</v>
      </c>
      <c r="B32" s="6"/>
      <c r="C32" s="6" t="s">
        <v>184</v>
      </c>
      <c r="D32" s="6" t="s">
        <v>185</v>
      </c>
      <c r="E32" s="6" t="s">
        <v>15</v>
      </c>
      <c r="F32" s="6" t="s">
        <v>186</v>
      </c>
      <c r="G32" s="6" t="s">
        <v>187</v>
      </c>
      <c r="H32" s="6" t="s">
        <v>153</v>
      </c>
      <c r="I32" s="6">
        <v>16543245</v>
      </c>
      <c r="J32" s="6">
        <v>741751</v>
      </c>
      <c r="K32" s="6">
        <v>380000</v>
      </c>
      <c r="L32" s="6">
        <v>17664996</v>
      </c>
      <c r="M32" s="6" t="s">
        <v>188</v>
      </c>
      <c r="N32" s="6" t="s">
        <v>56</v>
      </c>
      <c r="O32" s="6" t="s">
        <v>106</v>
      </c>
      <c r="P32" s="6" t="s">
        <v>189</v>
      </c>
      <c r="Q32" s="6" t="s">
        <v>190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/>
  </sheetViews>
  <sheetFormatPr baseColWidth="10" defaultColWidth="8.83203125" defaultRowHeight="14"/>
  <cols>
    <col min="1" max="1" width="20" customWidth="1"/>
    <col min="2" max="3" width="10" customWidth="1"/>
    <col min="4" max="5" width="16.6640625" customWidth="1"/>
    <col min="6" max="6" width="28.83203125" customWidth="1"/>
  </cols>
  <sheetData>
    <row r="1" spans="1:6" ht="32">
      <c r="A1" s="2" t="s">
        <v>36</v>
      </c>
      <c r="B1" s="2" t="s">
        <v>191</v>
      </c>
      <c r="C1" s="2" t="s">
        <v>6</v>
      </c>
      <c r="D1" s="3" t="s">
        <v>7</v>
      </c>
      <c r="E1" s="3" t="s">
        <v>192</v>
      </c>
      <c r="F1" s="2" t="s">
        <v>193</v>
      </c>
    </row>
    <row r="2" spans="1:6">
      <c r="A2" t="s">
        <v>23</v>
      </c>
      <c r="B2">
        <f>COUNTIF(全量案件明細!E:E,A2)</f>
        <v>2</v>
      </c>
      <c r="C2">
        <f>COUNTIFS(全量案件明細!E:E,A2,全量案件明細!N:N,"是")</f>
        <v>1</v>
      </c>
      <c r="D2">
        <f>SUMIFS(全量案件明細!I:I,全量案件明細!E:E,A2,全量案件明細!N:N,"是")</f>
        <v>3035660</v>
      </c>
      <c r="E2">
        <f>SUMIFS(全量案件明細!L:L,全量案件明細!E:E,A2,全量案件明細!N:N,"是")</f>
        <v>3035660</v>
      </c>
      <c r="F2" t="s">
        <v>194</v>
      </c>
    </row>
    <row r="3" spans="1:6">
      <c r="A3" t="s">
        <v>17</v>
      </c>
      <c r="B3">
        <f>COUNTIF(全量案件明細!E:E,A3)</f>
        <v>2</v>
      </c>
      <c r="C3">
        <f>COUNTIFS(全量案件明細!E:E,A3,全量案件明細!N:N,"是")</f>
        <v>2</v>
      </c>
      <c r="D3">
        <f>SUMIFS(全量案件明細!I:I,全量案件明細!E:E,A3,全量案件明細!N:N,"是")</f>
        <v>1360000</v>
      </c>
      <c r="E3">
        <f>SUMIFS(全量案件明細!L:L,全量案件明細!E:E,A3,全量案件明細!N:N,"是")</f>
        <v>1360000</v>
      </c>
      <c r="F3" t="s">
        <v>195</v>
      </c>
    </row>
    <row r="4" spans="1:6">
      <c r="A4" t="s">
        <v>20</v>
      </c>
      <c r="B4">
        <f>COUNTIF(全量案件明細!E:E,A4)</f>
        <v>2</v>
      </c>
      <c r="C4">
        <f>COUNTIFS(全量案件明細!E:E,A4,全量案件明細!N:N,"是")</f>
        <v>2</v>
      </c>
      <c r="D4">
        <f>SUMIFS(全量案件明細!I:I,全量案件明細!E:E,A4,全量案件明細!N:N,"是")</f>
        <v>12799290</v>
      </c>
      <c r="E4">
        <f>SUMIFS(全量案件明細!L:L,全量案件明細!E:E,A4,全量案件明細!N:N,"是")</f>
        <v>15486290</v>
      </c>
    </row>
    <row r="5" spans="1:6">
      <c r="A5" t="s">
        <v>10</v>
      </c>
      <c r="B5">
        <f>COUNTIF(全量案件明細!E:E,A5)</f>
        <v>11</v>
      </c>
      <c r="C5">
        <f>COUNTIFS(全量案件明細!E:E,A5,全量案件明細!N:N,"是")</f>
        <v>11</v>
      </c>
      <c r="D5">
        <f>SUMIFS(全量案件明細!I:I,全量案件明細!E:E,A5,全量案件明細!N:N,"是")</f>
        <v>3650000</v>
      </c>
      <c r="E5">
        <f>SUMIFS(全量案件明細!L:L,全量案件明細!E:E,A5,全量案件明細!N:N,"是")</f>
        <v>3650000</v>
      </c>
    </row>
    <row r="6" spans="1:6">
      <c r="A6" t="s">
        <v>15</v>
      </c>
      <c r="B6">
        <f>COUNTIF(全量案件明細!E:E,A6)</f>
        <v>3</v>
      </c>
      <c r="C6">
        <f>COUNTIFS(全量案件明細!E:E,A6,全量案件明細!N:N,"是")</f>
        <v>3</v>
      </c>
      <c r="D6">
        <f>SUMIFS(全量案件明細!I:I,全量案件明細!E:E,A6,全量案件明細!N:N,"是")</f>
        <v>90611245</v>
      </c>
      <c r="E6">
        <f>SUMIFS(全量案件明細!L:L,全量案件明細!E:E,A6,全量案件明細!N:N,"是")</f>
        <v>135924996</v>
      </c>
    </row>
    <row r="7" spans="1:6">
      <c r="A7" t="s">
        <v>12</v>
      </c>
      <c r="B7">
        <f>COUNTIF(全量案件明細!E:E,A7)</f>
        <v>11</v>
      </c>
      <c r="C7">
        <f>COUNTIFS(全量案件明細!E:E,A7,全量案件明細!N:N,"是")</f>
        <v>11</v>
      </c>
      <c r="D7">
        <f>SUMIFS(全量案件明細!I:I,全量案件明細!E:E,A7,全量案件明細!N:N,"是")</f>
        <v>33000000</v>
      </c>
      <c r="E7">
        <f>SUMIFS(全量案件明細!L:L,全量案件明細!E:E,A7,全量案件明細!N:N,"是")</f>
        <v>33000000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workbookViewId="0"/>
  </sheetViews>
  <sheetFormatPr baseColWidth="10" defaultColWidth="8.83203125" defaultRowHeight="14"/>
  <cols>
    <col min="1" max="3" width="10" customWidth="1"/>
    <col min="4" max="5" width="17.83203125" customWidth="1"/>
  </cols>
  <sheetData>
    <row r="1" spans="1:5" ht="16">
      <c r="A1" s="2" t="s">
        <v>35</v>
      </c>
      <c r="B1" s="2" t="s">
        <v>191</v>
      </c>
      <c r="C1" s="2" t="s">
        <v>6</v>
      </c>
      <c r="D1" s="3" t="s">
        <v>7</v>
      </c>
      <c r="E1" s="3" t="s">
        <v>192</v>
      </c>
    </row>
    <row r="2" spans="1:5">
      <c r="A2" t="s">
        <v>158</v>
      </c>
      <c r="B2">
        <f>COUNTIF(全量案件明細!D:D,A2)</f>
        <v>1</v>
      </c>
      <c r="C2">
        <f>COUNTIFS(全量案件明細!D:D,A2,全量案件明細!N:N,"是")</f>
        <v>1</v>
      </c>
      <c r="D2">
        <f>SUMIFS(全量案件明細!I:I,全量案件明細!D:D,A2,全量案件明細!N:N,"是")</f>
        <v>7343000</v>
      </c>
      <c r="E2">
        <f>SUMIFS(全量案件明細!L:L,全量案件明細!D:D,A2,全量案件明細!N:N,"是")</f>
        <v>10030000</v>
      </c>
    </row>
    <row r="3" spans="1:5">
      <c r="A3" t="s">
        <v>183</v>
      </c>
      <c r="B3">
        <f>COUNTIF(全量案件明細!D:D,A3)</f>
        <v>1</v>
      </c>
      <c r="C3">
        <f>COUNTIFS(全量案件明細!D:D,A3,全量案件明細!N:N,"是")</f>
        <v>1</v>
      </c>
      <c r="D3">
        <f>SUMIFS(全量案件明細!I:I,全量案件明細!D:D,A3,全量案件明細!N:N,"是")</f>
        <v>350000</v>
      </c>
      <c r="E3">
        <f>SUMIFS(全量案件明細!L:L,全量案件明細!D:D,A3,全量案件明細!N:N,"是")</f>
        <v>350000</v>
      </c>
    </row>
    <row r="4" spans="1:5">
      <c r="A4" t="s">
        <v>61</v>
      </c>
      <c r="B4">
        <f>COUNTIF(全量案件明細!D:D,A4)</f>
        <v>2</v>
      </c>
      <c r="C4">
        <f>COUNTIFS(全量案件明細!D:D,A4,全量案件明細!N:N,"是")</f>
        <v>2</v>
      </c>
      <c r="D4">
        <f>SUMIFS(全量案件明細!I:I,全量案件明細!D:D,A4,全量案件明細!N:N,"是")</f>
        <v>6540000</v>
      </c>
      <c r="E4">
        <f>SUMIFS(全量案件明細!L:L,全量案件明細!D:D,A4,全量案件明細!N:N,"是")</f>
        <v>9540000</v>
      </c>
    </row>
    <row r="5" spans="1:5">
      <c r="A5" t="s">
        <v>185</v>
      </c>
      <c r="B5">
        <f>COUNTIF(全量案件明細!D:D,A5)</f>
        <v>1</v>
      </c>
      <c r="C5">
        <f>COUNTIFS(全量案件明細!D:D,A5,全量案件明細!N:N,"是")</f>
        <v>1</v>
      </c>
      <c r="D5">
        <f>SUMIFS(全量案件明細!I:I,全量案件明細!D:D,A5,全量案件明細!N:N,"是")</f>
        <v>16543245</v>
      </c>
      <c r="E5">
        <f>SUMIFS(全量案件明細!L:L,全量案件明細!D:D,A5,全量案件明細!N:N,"是")</f>
        <v>17664996</v>
      </c>
    </row>
    <row r="6" spans="1:5">
      <c r="A6" t="s">
        <v>51</v>
      </c>
      <c r="B6">
        <f>COUNTIF(全量案件明細!D:D,A6)</f>
        <v>3</v>
      </c>
      <c r="C6">
        <f>COUNTIFS(全量案件明細!D:D,A6,全量案件明細!N:N,"是")</f>
        <v>3</v>
      </c>
      <c r="D6">
        <f>SUMIFS(全量案件明細!I:I,全量案件明細!D:D,A6,全量案件明細!N:N,"是")</f>
        <v>76664290</v>
      </c>
      <c r="E6">
        <f>SUMIFS(全量案件明細!L:L,全量案件明細!D:D,A6,全量案件明細!N:N,"是")</f>
        <v>117856290</v>
      </c>
    </row>
    <row r="7" spans="1:5">
      <c r="A7" t="s">
        <v>129</v>
      </c>
      <c r="B7">
        <f>COUNTIF(全量案件明細!D:D,A7)</f>
        <v>3</v>
      </c>
      <c r="C7">
        <f>COUNTIFS(全量案件明細!D:D,A7,全量案件明細!N:N,"是")</f>
        <v>3</v>
      </c>
      <c r="D7">
        <f>SUMIFS(全量案件明細!I:I,全量案件明細!D:D,A7,全量案件明細!N:N,"是")</f>
        <v>3700000</v>
      </c>
      <c r="E7">
        <f>SUMIFS(全量案件明細!L:L,全量案件明細!D:D,A7,全量案件明細!N:N,"是")</f>
        <v>3700000</v>
      </c>
    </row>
    <row r="8" spans="1:5">
      <c r="A8" t="s">
        <v>82</v>
      </c>
      <c r="B8">
        <f>COUNTIF(全量案件明細!D:D,A8)</f>
        <v>1</v>
      </c>
      <c r="C8">
        <f>COUNTIFS(全量案件明細!D:D,A8,全量案件明細!N:N,"是")</f>
        <v>1</v>
      </c>
      <c r="D8">
        <f>SUMIFS(全量案件明細!I:I,全量案件明細!D:D,A8,全量案件明細!N:N,"是")</f>
        <v>3035660</v>
      </c>
      <c r="E8">
        <f>SUMIFS(全量案件明細!L:L,全量案件明細!D:D,A8,全量案件明細!N:N,"是")</f>
        <v>3035660</v>
      </c>
    </row>
    <row r="9" spans="1:5">
      <c r="A9" t="s">
        <v>99</v>
      </c>
      <c r="B9">
        <f>COUNTIF(全量案件明細!D:D,A9)</f>
        <v>5</v>
      </c>
      <c r="C9">
        <f>COUNTIFS(全量案件明細!D:D,A9,全量案件明細!N:N,"是")</f>
        <v>5</v>
      </c>
      <c r="D9">
        <f>SUMIFS(全量案件明細!I:I,全量案件明細!D:D,A9,全量案件明細!N:N,"是")</f>
        <v>4680000</v>
      </c>
      <c r="E9">
        <f>SUMIFS(全量案件明細!L:L,全量案件明細!D:D,A9,全量案件明細!N:N,"是")</f>
        <v>4680000</v>
      </c>
    </row>
    <row r="10" spans="1:5">
      <c r="A10" t="s">
        <v>67</v>
      </c>
      <c r="B10">
        <f>COUNTIF(全量案件明細!D:D,A10)</f>
        <v>3</v>
      </c>
      <c r="C10">
        <f>COUNTIFS(全量案件明細!D:D,A10,全量案件明細!N:N,"是")</f>
        <v>3</v>
      </c>
      <c r="D10">
        <f>SUMIFS(全量案件明細!I:I,全量案件明細!D:D,A10,全量案件明細!N:N,"是")</f>
        <v>9000000</v>
      </c>
      <c r="E10">
        <f>SUMIFS(全量案件明細!L:L,全量案件明細!D:D,A10,全量案件明細!N:N,"是")</f>
        <v>9000000</v>
      </c>
    </row>
    <row r="11" spans="1:5">
      <c r="A11" t="s">
        <v>101</v>
      </c>
      <c r="B11">
        <f>COUNTIF(全量案件明細!D:D,A11)</f>
        <v>3</v>
      </c>
      <c r="C11">
        <f>COUNTIFS(全量案件明細!D:D,A11,全量案件明細!N:N,"是")</f>
        <v>2</v>
      </c>
      <c r="D11">
        <f>SUMIFS(全量案件明細!I:I,全量案件明細!D:D,A11,全量案件明細!N:N,"是")</f>
        <v>650000</v>
      </c>
      <c r="E11">
        <f>SUMIFS(全量案件明細!L:L,全量案件明細!D:D,A11,全量案件明細!N:N,"是")</f>
        <v>650000</v>
      </c>
    </row>
    <row r="12" spans="1:5">
      <c r="A12" t="s">
        <v>88</v>
      </c>
      <c r="B12">
        <f>COUNTIF(全量案件明細!D:D,A12)</f>
        <v>1</v>
      </c>
      <c r="C12">
        <f>COUNTIFS(全量案件明細!D:D,A12,全量案件明細!N:N,"是")</f>
        <v>1</v>
      </c>
      <c r="D12">
        <f>SUMIFS(全量案件明細!I:I,全量案件明細!D:D,A12,全量案件明細!N:N,"是")</f>
        <v>300000</v>
      </c>
      <c r="E12">
        <f>SUMIFS(全量案件明細!L:L,全量案件明細!D:D,A12,全量案件明細!N:N,"是")</f>
        <v>300000</v>
      </c>
    </row>
    <row r="13" spans="1:5">
      <c r="A13" t="s">
        <v>96</v>
      </c>
      <c r="B13">
        <f>COUNTIF(全量案件明細!D:D,A13)</f>
        <v>5</v>
      </c>
      <c r="C13">
        <f>COUNTIFS(全量案件明細!D:D,A13,全量案件明細!N:N,"是")</f>
        <v>5</v>
      </c>
      <c r="D13">
        <f>SUMIFS(全量案件明細!I:I,全量案件明細!D:D,A13,全量案件明細!N:N,"是")</f>
        <v>9650000</v>
      </c>
      <c r="E13">
        <f>SUMIFS(全量案件明細!L:L,全量案件明細!D:D,A13,全量案件明細!N:N,"是")</f>
        <v>9650000</v>
      </c>
    </row>
    <row r="14" spans="1:5">
      <c r="A14" t="s">
        <v>75</v>
      </c>
      <c r="B14">
        <f>COUNTIF(全量案件明細!D:D,A14)</f>
        <v>2</v>
      </c>
      <c r="C14">
        <f>COUNTIFS(全量案件明細!D:D,A14,全量案件明細!N:N,"是")</f>
        <v>2</v>
      </c>
      <c r="D14">
        <f>SUMIFS(全量案件明細!I:I,全量案件明細!D:D,A14,全量案件明細!N:N,"是")</f>
        <v>6000000</v>
      </c>
      <c r="E14">
        <f>SUMIFS(全量案件明細!L:L,全量案件明細!D:D,A14,全量案件明細!N:N,"是")</f>
        <v>6000000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workbookViewId="0"/>
  </sheetViews>
  <sheetFormatPr baseColWidth="10" defaultColWidth="8.83203125" defaultRowHeight="14"/>
  <cols>
    <col min="1" max="5" width="16.6640625" customWidth="1"/>
  </cols>
  <sheetData>
    <row r="1" spans="1:5" ht="15">
      <c r="A1" s="1" t="s">
        <v>32</v>
      </c>
      <c r="B1" s="1" t="s">
        <v>191</v>
      </c>
      <c r="C1" s="1" t="s">
        <v>6</v>
      </c>
      <c r="D1" s="7" t="s">
        <v>7</v>
      </c>
      <c r="E1" s="7" t="s">
        <v>192</v>
      </c>
    </row>
    <row r="2" spans="1:5">
      <c r="A2">
        <v>109</v>
      </c>
      <c r="B2">
        <f>COUNTIF(全量案件明細!A:A,A2)</f>
        <v>2</v>
      </c>
      <c r="C2">
        <f>COUNTIFS(全量案件明細!A:A,A2,全量案件明細!N:N,"是")</f>
        <v>2</v>
      </c>
      <c r="D2">
        <f>SUMIFS(全量案件明細!I:I,全量案件明細!A:A,A2,全量案件明細!N:N,"是")</f>
        <v>74068000</v>
      </c>
      <c r="E2">
        <f>SUMIFS(全量案件明細!L:L,全量案件明細!A:A,A2,全量案件明細!N:N,"是")</f>
        <v>118260000</v>
      </c>
    </row>
    <row r="3" spans="1:5">
      <c r="A3">
        <v>110</v>
      </c>
      <c r="B3">
        <f>COUNTIF(全量案件明細!A:A,A3)</f>
        <v>4</v>
      </c>
      <c r="C3">
        <f>COUNTIFS(全量案件明細!A:A,A3,全量案件明細!N:N,"是")</f>
        <v>4</v>
      </c>
      <c r="D3">
        <f>SUMIFS(全量案件明細!I:I,全量案件明細!A:A,A3,全量案件明細!N:N,"是")</f>
        <v>12035660</v>
      </c>
      <c r="E3">
        <f>SUMIFS(全量案件明細!L:L,全量案件明細!A:A,A3,全量案件明細!N:N,"是")</f>
        <v>12035660</v>
      </c>
    </row>
    <row r="4" spans="1:5">
      <c r="A4">
        <v>112</v>
      </c>
      <c r="B4">
        <f>COUNTIF(全量案件明細!A:A,A4)</f>
        <v>5</v>
      </c>
      <c r="C4">
        <f>COUNTIFS(全量案件明細!A:A,A4,全量案件明細!N:N,"是")</f>
        <v>4</v>
      </c>
      <c r="D4">
        <f>SUMIFS(全量案件明細!I:I,全量案件明細!A:A,A4,全量案件明細!N:N,"是")</f>
        <v>1200000</v>
      </c>
      <c r="E4">
        <f>SUMIFS(全量案件明細!L:L,全量案件明細!A:A,A4,全量案件明細!N:N,"是")</f>
        <v>1200000</v>
      </c>
    </row>
    <row r="5" spans="1:5">
      <c r="A5">
        <v>113</v>
      </c>
      <c r="B5">
        <f>COUNTIF(全量案件明細!A:A,A5)</f>
        <v>7</v>
      </c>
      <c r="C5">
        <f>COUNTIFS(全量案件明細!A:A,A5,全量案件明細!N:N,"是")</f>
        <v>7</v>
      </c>
      <c r="D5">
        <f>SUMIFS(全量案件明細!I:I,全量案件明細!A:A,A5,全量案件明細!N:N,"是")</f>
        <v>13050000</v>
      </c>
      <c r="E5">
        <f>SUMIFS(全量案件明細!L:L,全量案件明細!A:A,A5,全量案件明細!N:N,"是")</f>
        <v>13050000</v>
      </c>
    </row>
    <row r="6" spans="1:5">
      <c r="A6">
        <v>114</v>
      </c>
      <c r="B6">
        <f>COUNTIF(全量案件明細!A:A,A6)</f>
        <v>5</v>
      </c>
      <c r="C6">
        <f>COUNTIFS(全量案件明細!A:A,A6,全量案件明細!N:N,"是")</f>
        <v>5</v>
      </c>
      <c r="D6">
        <f>SUMIFS(全量案件明細!I:I,全量案件明細!A:A,A6,全量案件明細!N:N,"是")</f>
        <v>19149290</v>
      </c>
      <c r="E6">
        <f>SUMIFS(全量案件明細!L:L,全量案件明細!A:A,A6,全量案件明細!N:N,"是")</f>
        <v>21836290</v>
      </c>
    </row>
    <row r="7" spans="1:5">
      <c r="A7">
        <v>115</v>
      </c>
      <c r="B7">
        <f>COUNTIF(全量案件明細!A:A,A7)</f>
        <v>8</v>
      </c>
      <c r="C7">
        <f>COUNTIFS(全量案件明細!A:A,A7,全量案件明細!N:N,"是")</f>
        <v>8</v>
      </c>
      <c r="D7">
        <f>SUMIFS(全量案件明細!I:I,全量案件明細!A:A,A7,全量案件明細!N:N,"是")</f>
        <v>24953245</v>
      </c>
      <c r="E7">
        <f>SUMIFS(全量案件明細!L:L,全量案件明細!A:A,A7,全量案件明細!N:N,"是")</f>
        <v>26074996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showGridLines="0" workbookViewId="0"/>
  </sheetViews>
  <sheetFormatPr baseColWidth="10" defaultColWidth="8.83203125" defaultRowHeight="14"/>
  <cols>
    <col min="1" max="1" width="17.83203125" customWidth="1"/>
    <col min="2" max="4" width="36.6640625" customWidth="1"/>
  </cols>
  <sheetData>
    <row r="1" spans="1:4" ht="16">
      <c r="A1" s="12" t="s">
        <v>196</v>
      </c>
      <c r="B1" s="12" t="s">
        <v>197</v>
      </c>
      <c r="C1" s="12" t="s">
        <v>198</v>
      </c>
      <c r="D1" s="12" t="s">
        <v>199</v>
      </c>
    </row>
    <row r="2" spans="1:4">
      <c r="A2" s="13" t="s">
        <v>200</v>
      </c>
      <c r="B2" s="13" t="s">
        <v>201</v>
      </c>
      <c r="C2" s="13" t="s">
        <v>202</v>
      </c>
      <c r="D2" s="13" t="s">
        <v>203</v>
      </c>
    </row>
    <row r="3" spans="1:4">
      <c r="A3" s="13" t="s">
        <v>204</v>
      </c>
      <c r="B3" s="13" t="s">
        <v>205</v>
      </c>
      <c r="C3" s="13" t="s">
        <v>206</v>
      </c>
      <c r="D3" s="13" t="s">
        <v>207</v>
      </c>
    </row>
    <row r="4" spans="1:4">
      <c r="A4" s="13" t="s">
        <v>208</v>
      </c>
      <c r="B4" s="13" t="s">
        <v>209</v>
      </c>
      <c r="C4" s="13" t="s">
        <v>210</v>
      </c>
      <c r="D4" s="13" t="s">
        <v>211</v>
      </c>
    </row>
    <row r="5" spans="1:4">
      <c r="A5" s="13" t="s">
        <v>212</v>
      </c>
      <c r="B5" s="13" t="s">
        <v>213</v>
      </c>
      <c r="C5" s="13" t="s">
        <v>214</v>
      </c>
      <c r="D5" s="13" t="s">
        <v>215</v>
      </c>
    </row>
    <row r="6" spans="1:4">
      <c r="A6" s="13" t="s">
        <v>216</v>
      </c>
      <c r="B6" s="13" t="s">
        <v>217</v>
      </c>
      <c r="C6" s="13" t="s">
        <v>218</v>
      </c>
      <c r="D6" s="13" t="s">
        <v>219</v>
      </c>
    </row>
    <row r="7" spans="1:4">
      <c r="A7" s="13" t="s">
        <v>220</v>
      </c>
      <c r="B7" s="13" t="s">
        <v>221</v>
      </c>
      <c r="C7" s="13" t="s">
        <v>222</v>
      </c>
      <c r="D7" s="13" t="s">
        <v>223</v>
      </c>
    </row>
    <row r="8" spans="1:4">
      <c r="A8" s="13" t="s">
        <v>224</v>
      </c>
      <c r="B8" s="13" t="s">
        <v>225</v>
      </c>
      <c r="C8" s="13" t="s">
        <v>226</v>
      </c>
      <c r="D8" s="13" t="s">
        <v>227</v>
      </c>
    </row>
    <row r="9" spans="1:4">
      <c r="A9" s="13" t="s">
        <v>228</v>
      </c>
      <c r="B9" s="13" t="s">
        <v>229</v>
      </c>
      <c r="C9" s="13" t="s">
        <v>230</v>
      </c>
      <c r="D9" s="13"/>
    </row>
    <row r="10" spans="1:4">
      <c r="A10" s="13" t="s">
        <v>231</v>
      </c>
      <c r="B10" s="13" t="s">
        <v>232</v>
      </c>
      <c r="C10" s="13" t="s">
        <v>233</v>
      </c>
      <c r="D10" s="13" t="s">
        <v>234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摘要統計</vt:lpstr>
      <vt:lpstr>全量案件明細</vt:lpstr>
      <vt:lpstr>類型統計</vt:lpstr>
      <vt:lpstr>鄉鎮統計</vt:lpstr>
      <vt:lpstr>年度統計</vt:lpstr>
      <vt:lpstr>資料口徑與來源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榮漢 chiu</cp:lastModifiedBy>
  <dcterms:created xsi:type="dcterms:W3CDTF">2026-06-02T12:43:24Z</dcterms:created>
  <dcterms:modified xsi:type="dcterms:W3CDTF">2026-06-02T12:43:24Z</dcterms:modified>
</cp:coreProperties>
</file>