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c6a09a5623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統計" sheetId="1" r:id="Rbe1501b9bc954ccf"/>
    <x:sheet xmlns:r="http://schemas.openxmlformats.org/officeDocument/2006/relationships" name="案件明細" sheetId="2" r:id="R8207271e693f45ca"/>
    <x:sheet xmlns:r="http://schemas.openxmlformats.org/officeDocument/2006/relationships" name="部會金額明細" sheetId="3" r:id="R6d97fd60befa4537"/>
    <x:sheet xmlns:r="http://schemas.openxmlformats.org/officeDocument/2006/relationships" name="資料口徑" sheetId="4" r:id="R34567214c78e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17365D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E4DFEC"/>
      </x:left>
      <x:right style="thin">
        <x:color rgb="FFE4DFEC"/>
      </x:right>
      <x:top style="thin">
        <x:color rgb="FFE4DFEC"/>
      </x:top>
      <x:bottom style="thin">
        <x:color rgb="FFE4DFE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20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20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1" borderId="2" xfId="0" applyNumberFormat="1" applyFont="1" applyFill="0" applyBorder="1" applyAlignment="1">
      <x:alignment wrapText="1"/>
    </x:xf>
    <x:xf numFmtId="200" fontId="1" borderId="2" xfId="0" applyNumberFormat="1" applyFont="1" applyFill="0" applyBorder="1" applyAlignment="1">
      <x:alignment wrapText="1"/>
    </x:xf>
    <x:xf numFmtId="0" fontId="0" fillId="0" borderId="2" xfId="0" applyNumberFormat="1" applyFont="1" applyFill="1" applyBorder="1"/>
    <x:xf numFmtId="0" fontId="2" fillId="0" borderId="0" xfId="0" applyNumberFormat="1" applyFont="1" applyFill="1" applyBorder="1"/>
    <x:xf numFmtId="0" fontId="2" borderId="0" xfId="0" applyNumberFormat="1" applyFont="1" applyFill="0" applyBorder="1"/>
    <x:xf numFmtId="0" fontId="1" borderId="3" xfId="0" applyNumberFormat="1" applyFont="1" applyFill="0" applyBorder="1"/>
    <x:xf numFmtId="0" fontId="0" fillId="0" borderId="3" xfId="0" applyNumberFormat="1" applyFont="1" applyFill="1" applyBorder="1"/>
    <x:xf numFmtId="0" fontId="2" borderId="0" xfId="0" applyNumberFormat="1" applyFont="1" applyFill="0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0" fontId="3" fillId="0" borderId="3" xfId="0" applyNumberFormat="1" applyFont="1" applyFill="1" applyBorder="1"/>
    <x:xf numFmtId="200" fontId="3" fillId="0" borderId="3" xfId="0" applyNumberFormat="1" applyFont="1" applyFill="1" applyBorder="1"/>
    <x:xf numFmtId="0" fontId="3" borderId="3" xfId="0" applyNumberFormat="1" applyFont="1" applyFill="0" applyBorder="1"/>
    <x:xf numFmtId="200" fontId="3" borderId="3" xfId="0" applyNumberFormat="1" applyFont="1" applyFill="0" applyBorder="1"/>
    <x:xf numFmtId="0" fontId="1" borderId="4" xfId="0" applyNumberFormat="1" applyFont="1" applyFill="0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1" borderId="4" xfId="0" applyNumberFormat="1" applyFont="1" applyFill="0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1" borderId="5" xfId="0" applyNumberFormat="1" applyFont="1" applyFill="0" applyBorder="1" applyAlignment="1">
      <x:alignment wrapText="1"/>
    </x:xf>
    <x:xf numFmtId="0" fontId="0" fillId="0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7a5b026946439e" /><Relationship Type="http://schemas.openxmlformats.org/officeDocument/2006/relationships/theme" Target="/xl/theme/theme1.xml" Id="R3dbb29f1bc4f4475" /><Relationship Type="http://schemas.openxmlformats.org/officeDocument/2006/relationships/sharedStrings" Target="/xl/sharedStrings.xml" Id="Rc71d8fab0a944a42" /><Relationship Type="http://schemas.openxmlformats.org/officeDocument/2006/relationships/worksheet" Target="/xl/worksheets/sheet1.xml" Id="Rbe1501b9bc954ccf" /><Relationship Type="http://schemas.openxmlformats.org/officeDocument/2006/relationships/worksheet" Target="/xl/worksheets/sheet2.xml" Id="R8207271e693f45ca" /><Relationship Type="http://schemas.openxmlformats.org/officeDocument/2006/relationships/worksheet" Target="/xl/worksheets/sheet3.xml" Id="R6d97fd60befa4537" /><Relationship Type="http://schemas.openxmlformats.org/officeDocument/2006/relationships/worksheet" Target="/xl/worksheets/sheet4.xml" Id="R34567214c78e40e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7aea999ac349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提案書總經費比較（新台幣）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金額</c:v>
          </c:tx>
          <c:cat>
            <c:strRef>
              <c:f>'摘要統計'!$A$15:$A$19</c:f>
              <c:strCache>
                <c:ptCount val="0"/>
              </c:strCache>
            </c:strRef>
          </c:cat>
          <c:val>
            <c:numRef>
              <c:f>'摘要統計'!$B$15:$B$19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7aea999ac349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aseAmountTable" displayName="CaseAmountTable" ref="A1:P6" headerRowCount="1">
  <x:tableColumns count="16">
    <x:tableColumn id="1" name="年度"/>
    <x:tableColumn id="2" name="案件"/>
    <x:tableColumn id="3" name="鄉鎮"/>
    <x:tableColumn id="4" name="狀態"/>
    <x:tableColumn id="5" name="金額性質"/>
    <x:tableColumn id="6" name="會報/公開列示補助或中央經費"/>
    <x:tableColumn id="7" name="提案書中央補助/經費"/>
    <x:tableColumn id="8" name="提案書地方自籌"/>
    <x:tableColumn id="9" name="提案書民間投資"/>
    <x:tableColumn id="10" name="提案書總經費"/>
    <x:tableColumn id="11" name="已知金額合計"/>
    <x:tableColumn id="12" name="完整性"/>
    <x:tableColumn id="13" name="年度/版本註記"/>
    <x:tableColumn id="14" name="備註"/>
    <x:tableColumn id="15" name="來源"/>
    <x:tableColumn id="16" name="來源連結"/>
  </x:tableColumns>
  <x:tableStyleInfo name="TableStyleMedium2" showRowStripes="1"/>
</x:table>
</file>

<file path=xl/tables/table2.xml><?xml version="1.0" encoding="utf-8"?>
<x:table xmlns:x="http://schemas.openxmlformats.org/spreadsheetml/2006/main" id="2" name="MinistryAmountTable" displayName="MinistryAmountTable" ref="A1:H12" headerRowCount="1">
  <x:tableColumns count="8">
    <x:tableColumn id="1" name="案件"/>
    <x:tableColumn id="2" name="部會"/>
    <x:tableColumn id="3" name="對應計畫"/>
    <x:tableColumn id="4" name="金額性質"/>
    <x:tableColumn id="5" name="補助/中央經費"/>
    <x:tableColumn id="6" name="地方自籌"/>
    <x:tableColumn id="7" name="民間投資"/>
    <x:tableColumn id="8" name="備註"/>
  </x:tableColumns>
  <x:tableStyleInfo name="TableStyleMedium4" showRowStripes="1"/>
</x:table>
</file>

<file path=xl/tables/table3.xml><?xml version="1.0" encoding="utf-8"?>
<x:table xmlns:x="http://schemas.openxmlformats.org/spreadsheetml/2006/main" id="3" name="AssumptionTable" displayName="AssumptionTable" ref="A1:D8" headerRowCount="1">
  <x:tableColumns count="4">
    <x:tableColumn id="1" name="項目"/>
    <x:tableColumn id="2" name="說明"/>
    <x:tableColumn id="3" name="統計處理"/>
    <x:tableColumn id="4" name="後續查核建議"/>
  </x:tableColumns>
  <x:tableStyleInfo name="TableStyleMedium9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61443aec7b04e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0625783c694d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d3ba42618848e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4928a30cb14d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670000076293945" hidden="0" customWidth="1"/>
    <x:col min="2" max="2" width="16.670000076293945" hidden="0" customWidth="1"/>
    <x:col min="3" max="3" width="40" hidden="0" customWidth="1"/>
    <x:col min="5" max="5" width="10" hidden="0" customWidth="1"/>
    <x:col min="6" max="6" width="15.5600004196167" hidden="0" customWidth="1"/>
    <x:col min="7" max="7" width="15.5600004196167" hidden="0" customWidth="1"/>
    <x:col min="8" max="8" width="28.889999389648438" hidden="0" customWidth="1"/>
  </x:cols>
  <x:sheetData>
    <x:row r="1" ht="25.5" customHeight="1">
      <x:c r="A1" s="15" t="str">
        <x:v>新竹縣地方創生計畫金額彙整</x:v>
      </x:c>
      <x:c r="B1" s="16"/>
      <x:c r="C1" s="16"/>
      <x:c r="E1" s="16"/>
      <x:c r="F1" s="16"/>
      <x:c r="G1" s="16"/>
      <x:c r="H1" s="16"/>
    </x:row>
    <x:row r="3">
      <x:c r="A3" s="13" t="str">
        <x:v>統計項目</x:v>
      </x:c>
      <x:c r="B3" s="13" t="str">
        <x:v>金額/數量</x:v>
      </x:c>
      <x:c r="C3" s="13" t="str">
        <x:v>口徑說明</x:v>
      </x:c>
      <x:c r="E3" s="13" t="str">
        <x:v>鄉鎮</x:v>
      </x:c>
      <x:c r="F3" s="13" t="str">
        <x:v>公開/會報列示金額</x:v>
      </x:c>
      <x:c r="G3" s="13" t="str">
        <x:v>提案總經費</x:v>
      </x:c>
      <x:c r="H3" s="13" t="str">
        <x:v>備註</x:v>
      </x:c>
    </x:row>
    <x:row r="4">
      <x:c r="A4" s="14" t="str">
        <x:v>案件數</x:v>
      </x:c>
      <x:c r="B4" s="18" t="n">
        <x:f>COUNTA('案件明細'!B2:B6)</x:f>
        <x:v>5</x:v>
      </x:c>
      <x:c r="C4" s="14" t="str">
        <x:v>案件明細表列五案</x:v>
      </x:c>
      <x:c r="E4" s="14" t="str">
        <x:v>峨眉鄉</x:v>
      </x:c>
      <x:c r="F4" s="17" t="n">
        <x:f>SUMIF('案件明細'!C2:C6,E4,'案件明細'!F2:F6)</x:f>
        <x:v>73664290</x:v>
      </x:c>
      <x:c r="G4" s="17" t="n">
        <x:f>SUMIF('案件明細'!C2:C6,E4,'案件明細'!J2:J6)</x:f>
        <x:v>109400000</x:v>
      </x:c>
      <x:c r="H4" s="14" t="str">
        <x:v>峨眉主案總額為約數；時光村僅列補助/匡列</x:v>
      </x:c>
    </x:row>
    <x:row r="5">
      <x:c r="A5" s="14" t="str">
        <x:v>有公開/會報列示補助或中央經費案件數</x:v>
      </x:c>
      <x:c r="B5" s="18" t="n">
        <x:f>COUNT('案件明細'!F2:F6)</x:f>
        <x:v>4</x:v>
      </x:c>
      <x:c r="C5" s="14" t="str">
        <x:v>F欄不為空</x:v>
      </x:c>
      <x:c r="E5" s="14" t="str">
        <x:v>寶山鄉</x:v>
      </x:c>
      <x:c r="F5" s="17" t="n">
        <x:f>SUMIF('案件明細'!C2:C6,E5,'案件明細'!F2:F6)</x:f>
        <x:v>5860000</x:v>
      </x:c>
      <x:c r="G5" s="17" t="n">
        <x:f>SUMIF('案件明細'!C2:C6,E5,'案件明細'!J2:J6)</x:f>
        <x:v>8860000</x:v>
      </x:c>
      <x:c r="H5" s="14" t="str"/>
    </x:row>
    <x:row r="6">
      <x:c r="A6" s="14" t="str">
        <x:v>公開/會報列示補助或中央經費合計</x:v>
      </x:c>
      <x:c r="B6" s="17" t="n">
        <x:f>SUM('案件明細'!F2:F6)</x:f>
        <x:v>86867290</x:v>
      </x:c>
      <x:c r="C6" s="14" t="str">
        <x:v>案件明細F欄加總</x:v>
      </x:c>
      <x:c r="E6" s="14" t="str">
        <x:v>五峰鄉</x:v>
      </x:c>
      <x:c r="F6" s="17" t="n">
        <x:f>SUMIF('案件明細'!C2:C6,E6,'案件明細'!F2:F6)</x:f>
        <x:v>7343000</x:v>
      </x:c>
      <x:c r="G6" s="17" t="n">
        <x:f>SUMIF('案件明細'!C2:C6,E6,'案件明細'!J2:J6)</x:f>
        <x:v>10030000</x:v>
      </x:c>
      <x:c r="H6" s="14" t="str">
        <x:v>會報補助與提案總額不同</x:v>
      </x:c>
    </x:row>
    <x:row r="7">
      <x:c r="A7" s="14" t="str">
        <x:v>提案書中央補助/經費合計</x:v>
      </x:c>
      <x:c r="B7" s="17" t="n">
        <x:f>SUM('案件明細'!G2:G6)</x:f>
        <x:v>98455245</x:v>
      </x:c>
      <x:c r="C7" s="14" t="str">
        <x:v>案件明細G欄加總，未公開者不納入</x:v>
      </x:c>
      <x:c r="E7" s="14" t="str">
        <x:v>尖石鄉</x:v>
      </x:c>
      <x:c r="F7" s="17" t="n">
        <x:f>SUMIF('案件明細'!C2:C6,E7,'案件明細'!F2:F6)</x:f>
        <x:v>0</x:v>
      </x:c>
      <x:c r="G7" s="17" t="n">
        <x:f>SUMIF('案件明細'!C2:C6,E7,'案件明細'!J2:J6)</x:f>
        <x:v>17664996</x:v>
      </x:c>
      <x:c r="H7" s="14" t="str">
        <x:v>公開頁未列補助，採本機提案書</x:v>
      </x:c>
    </x:row>
    <x:row r="8">
      <x:c r="A8" s="14" t="str">
        <x:v>提案書地方自籌合計</x:v>
      </x:c>
      <x:c r="B8" s="17" t="n">
        <x:f>SUM('案件明細'!H2:H6)</x:f>
        <x:v>5741751</x:v>
      </x:c>
      <x:c r="C8" s="14" t="str">
        <x:v>案件明細H欄加總</x:v>
      </x:c>
      <x:c r="E8" s="21" t="str">
        <x:v>合計</x:v>
      </x:c>
      <x:c r="F8" s="22" t="n">
        <x:f>SUM(F4:F7)</x:f>
        <x:v>86867290</x:v>
      </x:c>
      <x:c r="G8" s="22" t="n">
        <x:f>SUM(G4:G7)</x:f>
        <x:v>145954996</x:v>
      </x:c>
      <x:c r="H8" s="21" t="str"/>
    </x:row>
    <x:row r="9">
      <x:c r="A9" s="14" t="str">
        <x:v>提案書民間投資合計</x:v>
      </x:c>
      <x:c r="B9" s="17" t="n">
        <x:f>SUM('案件明細'!I2:I6)</x:f>
        <x:v>41758000</x:v>
      </x:c>
      <x:c r="C9" s="14" t="str">
        <x:v>案件明細I欄加總</x:v>
      </x:c>
    </x:row>
    <x:row r="10">
      <x:c r="A10" s="14" t="str">
        <x:v>提案書總經費合計</x:v>
      </x:c>
      <x:c r="B10" s="17" t="n">
        <x:f>SUM('案件明細'!J2:J6)</x:f>
        <x:v>145954996</x:v>
      </x:c>
      <x:c r="C10" s="14" t="str">
        <x:v>案件明細J欄加總；含峨眉約數</x:v>
      </x:c>
    </x:row>
    <x:row r="11">
      <x:c r="A11" s="14" t="str">
        <x:v>僅能列補助/匡列、未見總經費案件數</x:v>
      </x:c>
      <x:c r="B11" s="18" t="n">
        <x:f>COUNTIF('案件明細'!L2:L6,"僅補助／匡列")</x:f>
        <x:v>1</x:v>
      </x:c>
      <x:c r="C11" s="14" t="str">
        <x:v>完整性為僅補助／匡列</x:v>
      </x:c>
    </x:row>
    <x:row r="12">
      <x:c r="A12" s="14" t="str">
        <x:v>會報金額與提案金額差異提醒</x:v>
      </x:c>
      <x:c r="B12" s="14" t="str">
        <x:v>需分口徑引用</x:v>
      </x:c>
      <x:c r="C12" s="14" t="str">
        <x:v>五峰案會報補助734.3萬元；提案書中央784.4萬元</x:v>
      </x:c>
    </x:row>
    <x:row r="14">
      <x:c r="A14" s="26" t="str">
        <x:v>圖表資料：提案書總經費</x:v>
      </x:c>
      <x:c r="B14" s="26" t="str">
        <x:v>金額</x:v>
      </x:c>
      <x:c r="C14" s="26" t="str">
        <x:v>是否納入圖表</x:v>
      </x:c>
    </x:row>
    <x:row r="15">
      <x:c r="A15" s="27" t="str">
        <x:v>新竹縣峨眉鄉地方創生計畫</x:v>
      </x:c>
      <x:c r="B15" s="28" t="n">
        <x:v>109400000</x:v>
      </x:c>
      <x:c r="C15" s="27" t="str">
        <x:v>是，約數</x:v>
      </x:c>
    </x:row>
    <x:row r="16">
      <x:c r="A16" s="27" t="str">
        <x:v>新竹縣寶山鄉地方創生計畫</x:v>
      </x:c>
      <x:c r="B16" s="28" t="n">
        <x:v>8860000</x:v>
      </x:c>
      <x:c r="C16" s="27" t="str">
        <x:v>是</x:v>
      </x:c>
    </x:row>
    <x:row r="17">
      <x:c r="A17" s="27" t="str">
        <x:v>時光村生態產業升級計畫</x:v>
      </x:c>
      <x:c r="B17" s="28" t="n">
        <x:v>0</x:v>
      </x:c>
      <x:c r="C17" s="27" t="str">
        <x:v>否，僅列補助/匡列</x:v>
      </x:c>
    </x:row>
    <x:row r="18">
      <x:c r="A18" s="27" t="str">
        <x:v>新竹縣五峰鄉地方創生計畫</x:v>
      </x:c>
      <x:c r="B18" s="28" t="n">
        <x:v>10030000</x:v>
      </x:c>
      <x:c r="C18" s="27" t="str">
        <x:v>是</x:v>
      </x:c>
    </x:row>
    <x:row r="19">
      <x:c r="A19" s="27" t="str">
        <x:v>平論文地方創生計畫</x:v>
      </x:c>
      <x:c r="B19" s="28" t="n">
        <x:v>17664996</x:v>
      </x:c>
      <x:c r="C19" s="27" t="str">
        <x:v>是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61443aec7b04ed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70000076293945" hidden="0" customWidth="1"/>
    <x:col min="2" max="2" width="25.559999465942383" hidden="0" customWidth="1"/>
    <x:col min="3" max="3" width="8.890000343322754" hidden="0" customWidth="1"/>
    <x:col min="4" max="4" width="20" hidden="0" customWidth="1"/>
    <x:col min="5" max="5" width="20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13.329999923706055" hidden="0" customWidth="1"/>
    <x:col min="11" max="11" width="13.329999923706055" hidden="0" customWidth="1"/>
    <x:col min="12" max="12" width="10" hidden="0" customWidth="1"/>
    <x:col min="13" max="13" width="26.670000076293945" hidden="0" customWidth="1"/>
    <x:col min="14" max="14" width="26.670000076293945" hidden="0" customWidth="1"/>
    <x:col min="15" max="15" width="26.670000076293945" hidden="0" customWidth="1"/>
    <x:col min="16" max="16" width="26.670000076293945" hidden="0" customWidth="1"/>
  </x:cols>
  <x:sheetData>
    <x:row r="1">
      <x:c r="A1" s="5" t="str">
        <x:v>年度</x:v>
      </x:c>
      <x:c r="B1" s="5" t="str">
        <x:v>案件</x:v>
      </x:c>
      <x:c r="C1" s="5" t="str">
        <x:v>鄉鎮</x:v>
      </x:c>
      <x:c r="D1" s="5" t="str">
        <x:v>狀態</x:v>
      </x:c>
      <x:c r="E1" s="5" t="str">
        <x:v>金額性質</x:v>
      </x:c>
      <x:c r="F1" s="6" t="str">
        <x:v>會報/公開列示補助或中央經費</x:v>
      </x:c>
      <x:c r="G1" s="6" t="str">
        <x:v>提案書中央補助/經費</x:v>
      </x:c>
      <x:c r="H1" s="6" t="str">
        <x:v>提案書地方自籌</x:v>
      </x:c>
      <x:c r="I1" s="6" t="str">
        <x:v>提案書民間投資</x:v>
      </x:c>
      <x:c r="J1" s="6" t="str">
        <x:v>提案書總經費</x:v>
      </x:c>
      <x:c r="K1" s="6" t="str">
        <x:v>已知金額合計</x:v>
      </x:c>
      <x:c r="L1" s="5" t="str">
        <x:v>完整性</x:v>
      </x:c>
      <x:c r="M1" s="5" t="str">
        <x:v>年度/版本註記</x:v>
      </x:c>
      <x:c r="N1" s="5" t="str">
        <x:v>備註</x:v>
      </x:c>
      <x:c r="O1" s="5" t="str">
        <x:v>來源</x:v>
      </x:c>
      <x:c r="P1" s="5" t="str">
        <x:v>來源連結</x:v>
      </x:c>
    </x:row>
    <x:row r="2">
      <x:c r="A2" s="7" t="n">
        <x:v>112</x:v>
      </x:c>
      <x:c r="B2" s="7" t="str">
        <x:v>新竹縣峨眉鄉地方創生計畫</x:v>
      </x:c>
      <x:c r="C2" s="7" t="str">
        <x:v>峨眉鄉</x:v>
      </x:c>
      <x:c r="D2" s="7" t="str">
        <x:v>國發會相關地方創生案例／第14次工作會議公開資料</x:v>
      </x:c>
      <x:c r="E2" s="7" t="str">
        <x:v>公開推估／媒合經費</x:v>
      </x:c>
      <x:c r="F2" s="7" t="n">
        <x:v>68208000</x:v>
      </x:c>
      <x:c r="G2" s="7" t="n">
        <x:v>68208000</x:v>
      </x:c>
      <x:c r="H2" s="7" t="n">
        <x:v>5000000</x:v>
      </x:c>
      <x:c r="I2" s="7" t="n">
        <x:v>36192000</x:v>
      </x:c>
      <x:c r="J2" s="7" t="n">
        <x:v>109400000</x:v>
      </x:c>
      <x:c r="K2" s="7" t="n">
        <x:f>IF(J2&lt;&gt;"",J2,SUM(F2:I2))</x:f>
        <x:v>109400000</x:v>
      </x:c>
      <x:c r="L2" s="7" t="str">
        <x:v>總額約數</x:v>
      </x:c>
      <x:c r="M2" s="7" t="str">
        <x:v>公開資料顯示主案於109年進入第14次工作會議；原表列112作為案例年度。</x:v>
      </x:c>
      <x:c r="N2" s="7" t="str">
        <x:v>縣府新聞寫中央部會經費6820.8萬元、民間投資3619.2萬元、地方自籌近500萬元；非逐項核定清冊。</x:v>
      </x:c>
      <x:c r="O2" s="7" t="str">
        <x:v>新竹縣府新聞；國發會新聞稿</x:v>
      </x:c>
      <x:c r="P2" s="7" t="str">
        <x:v>https://information.hsinchu.gov.tw/News_Content.aspx?n=2203&amp;s=225153；https://www.ndc.gov.tw/nc_8456_33731</x:v>
      </x:c>
    </x:row>
    <x:row r="3">
      <x:c r="A3" s="7" t="n">
        <x:v>112</x:v>
      </x:c>
      <x:c r="B3" s="7" t="str">
        <x:v>新竹縣寶山鄉地方創生計畫</x:v>
      </x:c>
      <x:c r="C3" s="7" t="str">
        <x:v>寶山鄉</x:v>
      </x:c>
      <x:c r="D3" s="7" t="str">
        <x:v>國發會相關地方創生案例</x:v>
      </x:c>
      <x:c r="E3" s="7" t="str">
        <x:v>公開經費需求表</x:v>
      </x:c>
      <x:c r="F3" s="7" t="n">
        <x:v>5860000</x:v>
      </x:c>
      <x:c r="G3" s="7" t="n">
        <x:v>5860000</x:v>
      </x:c>
      <x:c r="H3" s="7" t="n">
        <x:v>0</x:v>
      </x:c>
      <x:c r="I3" s="7" t="n">
        <x:v>3000000</x:v>
      </x:c>
      <x:c r="J3" s="7" t="n">
        <x:v>8860000</x:v>
      </x:c>
      <x:c r="K3" s="7" t="n">
        <x:f>IF(J3&lt;&gt;"",J3,SUM(F3:I3))</x:f>
        <x:v>8860000</x:v>
      </x:c>
      <x:c r="L3" s="7" t="str">
        <x:v>總額已列示</x:v>
      </x:c>
      <x:c r="M3" s="7" t="str">
        <x:v>原表列112；公開PDF為地方創生計畫發展策略及經費需求表。</x:v>
      </x:c>
      <x:c r="N3" s="7" t="str">
        <x:v>公開表列總經費需求886萬元，其中中央586萬元、民間投資300萬元。</x:v>
      </x:c>
      <x:c r="O3" s="7" t="str">
        <x:v>新竹縣府公開PDF</x:v>
      </x:c>
      <x:c r="P3" s="7" t="str">
        <x:v>https://ws.hsinchu.gov.tw/Download.ashx?n=5a%2B25bGx6YSJ57aT6LK76ZyA5rGC6KGoLnBkZg%3D%3D&amp;u=LzAwMS9VcGxvYWQvMTQvcmVsZmlsZS85NDk5LzIyOTQ1MC8yYjljMDgyNy0yYTFhLTQ0Y2MtYjYyNS1hNThkOWU4NzNhMTMucGRm</x:v>
      </x:c>
    </x:row>
    <x:row r="4">
      <x:c r="A4" s="7" t="n">
        <x:v>114</x:v>
      </x:c>
      <x:c r="B4" s="7" t="str">
        <x:v>時光村生態產業升級計畫</x:v>
      </x:c>
      <x:c r="C4" s="7" t="str">
        <x:v>峨眉鄉</x:v>
      </x:c>
      <x:c r="D4" s="7" t="str">
        <x:v>第46次行政院地方創生會報工作會議通過</x:v>
      </x:c>
      <x:c r="E4" s="7" t="str">
        <x:v>會報列示中央補助／匡列上限</x:v>
      </x:c>
      <x:c r="F4" s="7" t="n">
        <x:v>5456290</x:v>
      </x:c>
      <x:c r="G4" s="7"/>
      <x:c r="H4" s="7"/>
      <x:c r="I4" s="7"/>
      <x:c r="J4" s="7"/>
      <x:c r="K4" s="7" t="n">
        <x:f>IF(J4&lt;&gt;"",J4,SUM(F4:I4))</x:f>
        <x:v>5456290</x:v>
      </x:c>
      <x:c r="L4" s="7" t="str">
        <x:v>僅補助／匡列</x:v>
      </x:c>
      <x:c r="M4" s="7" t="str">
        <x:v>第46次行政院地方創生會報工作會議通過。</x:v>
      </x:c>
      <x:c r="N4" s="7" t="str">
        <x:v>會議紀錄列客委會100萬元上限、勞動部305.629萬元上限、經濟部140萬元；實際補助仍視各部會審查。</x:v>
      </x:c>
      <x:c r="O4" s="7" t="str">
        <x:v>第46次工作會議紀錄</x:v>
      </x:c>
      <x:c r="P4" s="7" t="str">
        <x:v>https://gdd.hsinchu.gov.tw/News_Content.aspx?n=1212&amp;s=267784&amp;sms=9499</x:v>
      </x:c>
    </x:row>
    <x:row r="5">
      <x:c r="A5" s="7" t="n">
        <x:v>114</x:v>
      </x:c>
      <x:c r="B5" s="7" t="str">
        <x:v>新竹縣五峰鄉地方創生計畫</x:v>
      </x:c>
      <x:c r="C5" s="7" t="str">
        <x:v>五峰鄉</x:v>
      </x:c>
      <x:c r="D5" s="7" t="str">
        <x:v>第51次行政院地方創生會報工作會議通過</x:v>
      </x:c>
      <x:c r="E5" s="7" t="str">
        <x:v>會報補助＋本機提案書總經費</x:v>
      </x:c>
      <x:c r="F5" s="7" t="n">
        <x:v>7343000</x:v>
      </x:c>
      <x:c r="G5" s="7" t="n">
        <x:v>7844000</x:v>
      </x:c>
      <x:c r="H5" s="7" t="n">
        <x:v>0</x:v>
      </x:c>
      <x:c r="I5" s="7" t="n">
        <x:v>2186000</x:v>
      </x:c>
      <x:c r="J5" s="7" t="n">
        <x:v>10030000</x:v>
      </x:c>
      <x:c r="K5" s="7" t="n">
        <x:f>IF(J5&lt;&gt;"",J5,SUM(F5:I5))</x:f>
        <x:v>10030000</x:v>
      </x:c>
      <x:c r="L5" s="7" t="str">
        <x:v>總額已列示</x:v>
      </x:c>
      <x:c r="M5" s="7" t="str">
        <x:v>第51次行政院地方創生會報工作會議通過。</x:v>
      </x:c>
      <x:c r="N5" s="7" t="str">
        <x:v>會報補助合計734.3萬元；本機提案書總經費1003萬元，中央784.4萬元、民間218.6萬元，兩者需分開引用。</x:v>
      </x:c>
      <x:c r="O5" s="7" t="str">
        <x:v>國發會第51次通過頁；第51次會議紀錄；本機五峰提案書</x:v>
      </x:c>
      <x:c r="P5" s="7" t="str">
        <x:v>https://www.ndc.gov.tw/nc_14813_39519</x:v>
      </x:c>
    </x:row>
    <x:row r="6">
      <x:c r="A6" s="7" t="n">
        <x:v>115</x:v>
      </x:c>
      <x:c r="B6" s="7" t="str">
        <x:v>平論文地方創生計畫</x:v>
      </x:c>
      <x:c r="C6" s="7" t="str">
        <x:v>尖石鄉</x:v>
      </x:c>
      <x:c r="D6" s="7" t="str">
        <x:v>第55次行政院地方創生會報工作會議通過</x:v>
      </x:c>
      <x:c r="E6" s="7" t="str">
        <x:v>本機提案書經費需求</x:v>
      </x:c>
      <x:c r="F6" s="7"/>
      <x:c r="G6" s="7" t="n">
        <x:v>16543245</x:v>
      </x:c>
      <x:c r="H6" s="7" t="n">
        <x:v>741751</x:v>
      </x:c>
      <x:c r="I6" s="7" t="n">
        <x:v>380000</x:v>
      </x:c>
      <x:c r="J6" s="7" t="n">
        <x:v>17664996</x:v>
      </x:c>
      <x:c r="K6" s="7" t="n">
        <x:f>IF(J6&lt;&gt;"",J6,SUM(F6:I6))</x:f>
        <x:v>17664996</x:v>
      </x:c>
      <x:c r="L6" s="7" t="str">
        <x:v>總額已列示</x:v>
      </x:c>
      <x:c r="M6" s="7" t="str">
        <x:v>第55次行政院地方創生會報工作會議通過。</x:v>
      </x:c>
      <x:c r="N6" s="7" t="str">
        <x:v>第55次會議版提案書列總經費1766.4996萬元；公開國發會頁目前未列補助金額。</x:v>
      </x:c>
      <x:c r="O6" s="7" t="str">
        <x:v>國發會第55次通過頁；本機尖石1150318提案書</x:v>
      </x:c>
      <x:c r="P6" s="7" t="str">
        <x:v>https://www.ndc.gov.tw/nc_14813_40035</x:v>
      </x:c>
    </x:row>
  </x:sheetData>
  <x:pageMargins left="0.7" right="0.7" top="0.75" bottom="0.75" header="0.3" footer="0.3"/>
  <x:tableParts count="1">
    <x:tablePart xmlns:r="http://schemas.openxmlformats.org/officeDocument/2006/relationships" r:id="R0b0625783c694d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559999465942383" hidden="0" customWidth="1"/>
    <x:col min="2" max="2" width="10" hidden="0" customWidth="1"/>
    <x:col min="3" max="3" width="26.670000076293945" hidden="0" customWidth="1"/>
    <x:col min="4" max="4" width="14.4399995803833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24.440000534057617" hidden="0" customWidth="1"/>
  </x:cols>
  <x:sheetData>
    <x:row r="1">
      <x:c r="A1" s="8" t="str">
        <x:v>案件</x:v>
      </x:c>
      <x:c r="B1" s="8" t="str">
        <x:v>部會</x:v>
      </x:c>
      <x:c r="C1" s="8" t="str">
        <x:v>對應計畫</x:v>
      </x:c>
      <x:c r="D1" s="8" t="str">
        <x:v>金額性質</x:v>
      </x:c>
      <x:c r="E1" s="9" t="str">
        <x:v>補助/中央經費</x:v>
      </x:c>
      <x:c r="F1" s="9" t="str">
        <x:v>地方自籌</x:v>
      </x:c>
      <x:c r="G1" s="9" t="str">
        <x:v>民間投資</x:v>
      </x:c>
      <x:c r="H1" s="8" t="str">
        <x:v>備註</x:v>
      </x:c>
    </x:row>
    <x:row r="2">
      <x:c r="A2" s="10" t="str">
        <x:v>新竹縣峨眉鄉地方創生計畫</x:v>
      </x:c>
      <x:c r="B2" s="10" t="str">
        <x:v>多部會合計</x:v>
      </x:c>
      <x:c r="C2" s="10" t="str">
        <x:v>公開資料未拆分</x:v>
      </x:c>
      <x:c r="D2" s="10" t="str">
        <x:v>中央部會經費</x:v>
      </x:c>
      <x:c r="E2" s="10" t="n">
        <x:v>68208000</x:v>
      </x:c>
      <x:c r="F2" s="10" t="n">
        <x:v>0</x:v>
      </x:c>
      <x:c r="G2" s="10" t="n">
        <x:v>0</x:v>
      </x:c>
      <x:c r="H2" s="10" t="str">
        <x:v>公開推估／媒合經費</x:v>
      </x:c>
    </x:row>
    <x:row r="3">
      <x:c r="A3" s="10" t="str">
        <x:v>新竹縣寶山鄉地方創生計畫</x:v>
      </x:c>
      <x:c r="B3" s="10" t="str">
        <x:v>多部會合計</x:v>
      </x:c>
      <x:c r="C3" s="10" t="str">
        <x:v>公開資料未拆分</x:v>
      </x:c>
      <x:c r="D3" s="10" t="str">
        <x:v>中央經費</x:v>
      </x:c>
      <x:c r="E3" s="10" t="n">
        <x:v>5860000</x:v>
      </x:c>
      <x:c r="F3" s="10" t="n">
        <x:v>0</x:v>
      </x:c>
      <x:c r="G3" s="10" t="n">
        <x:v>3000000</x:v>
      </x:c>
      <x:c r="H3" s="10" t="str">
        <x:v>公開經費需求表</x:v>
      </x:c>
    </x:row>
    <x:row r="4">
      <x:c r="A4" s="10" t="str">
        <x:v>時光村生態產業升級計畫</x:v>
      </x:c>
      <x:c r="B4" s="10" t="str">
        <x:v>客委會</x:v>
      </x:c>
      <x:c r="C4" s="10" t="str">
        <x:v>推動客庄產業創新加值計畫</x:v>
      </x:c>
      <x:c r="D4" s="10" t="str">
        <x:v>匡列上限</x:v>
      </x:c>
      <x:c r="E4" s="10" t="n">
        <x:v>1000000</x:v>
      </x:c>
      <x:c r="F4" s="10" t="n">
        <x:v>0</x:v>
      </x:c>
      <x:c r="G4" s="10" t="n">
        <x:v>0</x:v>
      </x:c>
      <x:c r="H4" s="10" t="str">
        <x:v>實際補助視審查結果</x:v>
      </x:c>
    </x:row>
    <x:row r="5">
      <x:c r="A5" s="10" t="str">
        <x:v>時光村生態產業升級計畫</x:v>
      </x:c>
      <x:c r="B5" s="10" t="str">
        <x:v>勞動部</x:v>
      </x:c>
      <x:c r="C5" s="10" t="str">
        <x:v>多元就業開發方案</x:v>
      </x:c>
      <x:c r="D5" s="10" t="str">
        <x:v>匡列上限</x:v>
      </x:c>
      <x:c r="E5" s="10" t="n">
        <x:v>3056290</x:v>
      </x:c>
      <x:c r="F5" s="10" t="n">
        <x:v>0</x:v>
      </x:c>
      <x:c r="G5" s="10" t="n">
        <x:v>0</x:v>
      </x:c>
      <x:c r="H5" s="10" t="str">
        <x:v>實際補助視審查結果</x:v>
      </x:c>
    </x:row>
    <x:row r="6">
      <x:c r="A6" s="10" t="str">
        <x:v>時光村生態產業升級計畫</x:v>
      </x:c>
      <x:c r="B6" s="10" t="str">
        <x:v>經濟部</x:v>
      </x:c>
      <x:c r="C6" s="10" t="str">
        <x:v>配合地方創生推動城鄉特色產業發展計畫</x:v>
      </x:c>
      <x:c r="D6" s="10" t="str">
        <x:v>會報列示補助</x:v>
      </x:c>
      <x:c r="E6" s="10" t="n">
        <x:v>1400000</x:v>
      </x:c>
      <x:c r="F6" s="10" t="n">
        <x:v>0</x:v>
      </x:c>
      <x:c r="G6" s="10" t="n">
        <x:v>0</x:v>
      </x:c>
      <x:c r="H6" s="10" t="str">
        <x:v>會報紀錄</x:v>
      </x:c>
    </x:row>
    <x:row r="7">
      <x:c r="A7" s="10" t="str">
        <x:v>新竹縣五峰鄉地方創生計畫</x:v>
      </x:c>
      <x:c r="B7" s="10" t="str">
        <x:v>農業部</x:v>
      </x:c>
      <x:c r="C7" s="10" t="str">
        <x:v>打造永續共好地方創生計畫</x:v>
      </x:c>
      <x:c r="D7" s="10" t="str">
        <x:v>第51次會報補助</x:v>
      </x:c>
      <x:c r="E7" s="10" t="n">
        <x:v>4343000</x:v>
      </x:c>
      <x:c r="F7" s="10" t="n">
        <x:v>0</x:v>
      </x:c>
      <x:c r="G7" s="10" t="n">
        <x:v>456000</x:v>
      </x:c>
      <x:c r="H7" s="10" t="str">
        <x:v>會報補助；提案書民投45.6萬元</x:v>
      </x:c>
    </x:row>
    <x:row r="8">
      <x:c r="A8" s="10" t="str">
        <x:v>新竹縣五峰鄉地方創生計畫</x:v>
      </x:c>
      <x:c r="B8" s="10" t="str">
        <x:v>文化部</x:v>
      </x:c>
      <x:c r="C8" s="10" t="str">
        <x:v>文化資產局補助地方創生計畫</x:v>
      </x:c>
      <x:c r="D8" s="10" t="str">
        <x:v>第51次會報補助</x:v>
      </x:c>
      <x:c r="E8" s="10" t="n">
        <x:v>1600000</x:v>
      </x:c>
      <x:c r="F8" s="10" t="n">
        <x:v>0</x:v>
      </x:c>
      <x:c r="G8" s="10" t="n">
        <x:v>710000</x:v>
      </x:c>
      <x:c r="H8" s="10" t="str">
        <x:v>會報補助；提案書民投71萬元</x:v>
      </x:c>
    </x:row>
    <x:row r="9">
      <x:c r="A9" s="10" t="str">
        <x:v>新竹縣五峰鄉地方創生計畫</x:v>
      </x:c>
      <x:c r="B9" s="10" t="str">
        <x:v>經濟部</x:v>
      </x:c>
      <x:c r="C9" s="10" t="str">
        <x:v>配合地方創生推動城鄉特色產業發展計畫</x:v>
      </x:c>
      <x:c r="D9" s="10" t="str">
        <x:v>第51次會報補助</x:v>
      </x:c>
      <x:c r="E9" s="10" t="n">
        <x:v>1400000</x:v>
      </x:c>
      <x:c r="F9" s="10" t="n">
        <x:v>0</x:v>
      </x:c>
      <x:c r="G9" s="10" t="n">
        <x:v>1020000</x:v>
      </x:c>
      <x:c r="H9" s="10" t="str">
        <x:v>會報補助；提案書民投102萬元</x:v>
      </x:c>
    </x:row>
    <x:row r="10">
      <x:c r="A10" s="10" t="str">
        <x:v>平論文地方創生計畫</x:v>
      </x:c>
      <x:c r="B10" s="10" t="str">
        <x:v>原民會</x:v>
      </x:c>
      <x:c r="C10" s="10" t="str">
        <x:v>推動原住民族特色農業升級計畫</x:v>
      </x:c>
      <x:c r="D10" s="10" t="str">
        <x:v>提案書補助</x:v>
      </x:c>
      <x:c r="E10" s="10" t="n">
        <x:v>950000</x:v>
      </x:c>
      <x:c r="F10" s="10" t="n">
        <x:v>0</x:v>
      </x:c>
      <x:c r="G10" s="10" t="n">
        <x:v>0</x:v>
      </x:c>
      <x:c r="H10" s="10" t="str">
        <x:v>平論文苦茶油產業培訓計畫</x:v>
      </x:c>
    </x:row>
    <x:row r="11">
      <x:c r="A11" s="10" t="str">
        <x:v>平論文地方創生計畫</x:v>
      </x:c>
      <x:c r="B11" s="10" t="str">
        <x:v>經濟部</x:v>
      </x:c>
      <x:c r="C11" s="10" t="str">
        <x:v>配合地方創生推動城鄉特色產業發展計畫</x:v>
      </x:c>
      <x:c r="D11" s="10" t="str">
        <x:v>提案書補助</x:v>
      </x:c>
      <x:c r="E11" s="10" t="n">
        <x:v>1500000</x:v>
      </x:c>
      <x:c r="F11" s="10" t="n">
        <x:v>0</x:v>
      </x:c>
      <x:c r="G11" s="10" t="n">
        <x:v>380000</x:v>
      </x:c>
      <x:c r="H11" s="10" t="str">
        <x:v>尖石香草產業模組與文化識別系統建構計畫</x:v>
      </x:c>
    </x:row>
    <x:row r="12">
      <x:c r="A12" s="10" t="str">
        <x:v>平論文地方創生計畫</x:v>
      </x:c>
      <x:c r="B12" s="10" t="str">
        <x:v>交通部</x:v>
      </x:c>
      <x:c r="C12" s="10" t="str">
        <x:v>公路公共運輸永續及交通平權計畫</x:v>
      </x:c>
      <x:c r="D12" s="10" t="str">
        <x:v>提案書補助</x:v>
      </x:c>
      <x:c r="E12" s="10" t="n">
        <x:v>14093245</x:v>
      </x:c>
      <x:c r="F12" s="10" t="n">
        <x:v>741751</x:v>
      </x:c>
      <x:c r="G12" s="10" t="n">
        <x:v>0</x:v>
      </x:c>
      <x:c r="H12" s="10" t="str">
        <x:v>尖石鄉幸福巴士計畫</x:v>
      </x:c>
    </x:row>
  </x:sheetData>
  <x:pageMargins left="0.7" right="0.7" top="0.75" bottom="0.75" header="0.3" footer="0.3"/>
  <x:tableParts count="1">
    <x:tablePart xmlns:r="http://schemas.openxmlformats.org/officeDocument/2006/relationships" r:id="Rfad3ba42618848e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80000686645508" hidden="0" customWidth="1"/>
    <x:col min="2" max="2" width="36.66999816894531" hidden="0" customWidth="1"/>
    <x:col min="3" max="3" width="36.66999816894531" hidden="0" customWidth="1"/>
    <x:col min="4" max="4" width="36.66999816894531" hidden="0" customWidth="1"/>
  </x:cols>
  <x:sheetData>
    <x:row r="1">
      <x:c r="A1" s="29" t="str">
        <x:v>項目</x:v>
      </x:c>
      <x:c r="B1" s="29" t="str">
        <x:v>說明</x:v>
      </x:c>
      <x:c r="C1" s="29" t="str">
        <x:v>統計處理</x:v>
      </x:c>
      <x:c r="D1" s="29" t="str">
        <x:v>後續查核建議</x:v>
      </x:c>
    </x:row>
    <x:row r="2">
      <x:c r="A2" s="30" t="str">
        <x:v>會報/公開列示補助或中央經費</x:v>
      </x:c>
      <x:c r="B2" s="30" t="str">
        <x:v>來自國發會、縣府新聞或會議紀錄列示之金額。</x:v>
      </x:c>
      <x:c r="C2" s="30" t="str">
        <x:v>列入公開/會報金額統計。</x:v>
      </x:c>
      <x:c r="D2" s="30" t="str">
        <x:v>如需正式補助額，仍應調各部會核定公文或補助公告。</x:v>
      </x:c>
    </x:row>
    <x:row r="3">
      <x:c r="A3" s="30" t="str">
        <x:v>提案書總經費</x:v>
      </x:c>
      <x:c r="B3" s="30" t="str">
        <x:v>來自本機提案書或公開經費需求表，含中央、地方自籌、民間投資。</x:v>
      </x:c>
      <x:c r="C3" s="30" t="str">
        <x:v>列入提案總經費統計。</x:v>
      </x:c>
      <x:c r="D3" s="30" t="str">
        <x:v>與會報補助可不同，引用時需註明版本日期。</x:v>
      </x:c>
    </x:row>
    <x:row r="4">
      <x:c r="A4" s="30" t="str">
        <x:v>峨眉鄉112/109年度註記</x:v>
      </x:c>
      <x:c r="B4" s="30" t="str">
        <x:v>原表列112，但公開新聞與國發會資料顯示主案為109年輔導及第14次工作會議。</x:v>
      </x:c>
      <x:c r="C4" s="30" t="str">
        <x:v>本表保留原列年度112，另以版本註記提醒。</x:v>
      </x:c>
      <x:c r="D4" s="30" t="str">
        <x:v>若要送件，建議改列「案例年度/公開資料年度」兩欄。</x:v>
      </x:c>
    </x:row>
    <x:row r="5">
      <x:c r="A5" s="30" t="str">
        <x:v>時光村案</x:v>
      </x:c>
      <x:c r="B5" s="30" t="str">
        <x:v>目前查到第46次會議補助/匡列金額，未查到完整總經費表。</x:v>
      </x:c>
      <x:c r="C5" s="30" t="str">
        <x:v>不列入提案總經費合計，只列公開/會報金額。</x:v>
      </x:c>
      <x:c r="D5" s="30" t="str">
        <x:v>續查各部會核定函與執行計畫書。</x:v>
      </x:c>
    </x:row>
    <x:row r="6">
      <x:c r="A6" s="30" t="str">
        <x:v>五峰案</x:v>
      </x:c>
      <x:c r="B6" s="30" t="str">
        <x:v>第51次會報補助734.3萬元；本機提案書中央經費784.4萬元、民投218.6萬元、總額1003萬元。</x:v>
      </x:c>
      <x:c r="C6" s="30" t="str">
        <x:v>兩種口徑分欄統計。</x:v>
      </x:c>
      <x:c r="D6" s="30" t="str">
        <x:v>確認最後核定版採會報紀錄或後續部會函。</x:v>
      </x:c>
    </x:row>
    <x:row r="7">
      <x:c r="A7" s="30" t="str">
        <x:v>平論文案</x:v>
      </x:c>
      <x:c r="B7" s="30" t="str">
        <x:v>公開國發會頁僅列通過；金額採本機1150318提案書。</x:v>
      </x:c>
      <x:c r="C7" s="30" t="str">
        <x:v>列入提案總經費，不列入公開/會報補助統計。</x:v>
      </x:c>
      <x:c r="D7" s="30" t="str">
        <x:v>續查第55次會議紀錄或各部會核定公文。</x:v>
      </x:c>
    </x:row>
    <x:row r="8">
      <x:c r="A8" s="30" t="str">
        <x:v>幣別</x:v>
      </x:c>
      <x:c r="B8" s="30" t="str">
        <x:v>全表金額均為新台幣元；簡報可再換算為萬元。</x:v>
      </x:c>
      <x:c r="C8" s="30" t="str">
        <x:v>統計使用元，避免小數誤差。</x:v>
      </x:c>
      <x:c r="D8" s="30" t="str">
        <x:v>報告呈現時可除以10,000。</x:v>
      </x:c>
    </x:row>
  </x:sheetData>
  <x:pageMargins left="0.7" right="0.7" top="0.75" bottom="0.75" header="0.3" footer="0.3"/>
  <x:tableParts count="1">
    <x:tablePart xmlns:r="http://schemas.openxmlformats.org/officeDocument/2006/relationships" r:id="Rab4928a30cb14daf"/>
  </x:tableParts>
</x:worksheet>
</file>